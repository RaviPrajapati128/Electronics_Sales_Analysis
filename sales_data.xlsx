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MKS\Downloads\"/>
    </mc:Choice>
  </mc:AlternateContent>
  <xr:revisionPtr revIDLastSave="0" documentId="13_ncr:1_{9C6AB5F4-BC12-41A9-8432-D52BE2033FF2}"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i_t" sheetId="2" r:id="rId2"/>
    <sheet name="Dashb_rd" sheetId="3" r:id="rId3"/>
  </sheets>
  <definedNames>
    <definedName name="NativeTimeline_Date_of_Sale">#N/A</definedName>
    <definedName name="Slicer_Category">#N/A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Lst>
</workbook>
</file>

<file path=xl/calcChain.xml><?xml version="1.0" encoding="utf-8"?>
<calcChain xmlns="http://schemas.openxmlformats.org/spreadsheetml/2006/main">
  <c r="D87" i="2" l="1"/>
  <c r="D86" i="2"/>
  <c r="D85" i="2"/>
  <c r="D84" i="2"/>
  <c r="D83" i="2"/>
  <c r="B26" i="2"/>
  <c r="D7" i="2"/>
  <c r="E84" i="2"/>
  <c r="E87" i="2"/>
  <c r="D6" i="2"/>
  <c r="D3" i="2"/>
  <c r="E86" i="2"/>
  <c r="D5" i="2"/>
  <c r="E85" i="2"/>
  <c r="E83" i="2"/>
  <c r="E88" i="2"/>
  <c r="D4" i="2"/>
  <c r="C25" i="2"/>
  <c r="N1" i="3" l="1"/>
  <c r="E3" i="2"/>
  <c r="E7" i="2"/>
  <c r="E6" i="2"/>
  <c r="E5" i="2"/>
  <c r="E4" i="2"/>
</calcChain>
</file>

<file path=xl/sharedStrings.xml><?xml version="1.0" encoding="utf-8"?>
<sst xmlns="http://schemas.openxmlformats.org/spreadsheetml/2006/main" count="684" uniqueCount="243">
  <si>
    <t>Order ID</t>
  </si>
  <si>
    <t>Product</t>
  </si>
  <si>
    <t>Category</t>
  </si>
  <si>
    <t>Quantity Sold</t>
  </si>
  <si>
    <t>Revenue ($)</t>
  </si>
  <si>
    <t>Discount (%)</t>
  </si>
  <si>
    <t>Salesperson</t>
  </si>
  <si>
    <t>Region</t>
  </si>
  <si>
    <t>Date of Sale</t>
  </si>
  <si>
    <t>Payment Method</t>
  </si>
  <si>
    <t>5b08ea87-48a3-4371-8c3a-28003449a12a</t>
  </si>
  <si>
    <t>Smartphone</t>
  </si>
  <si>
    <t>Electronics</t>
  </si>
  <si>
    <t>Richard Scott</t>
  </si>
  <si>
    <t>North America</t>
  </si>
  <si>
    <t>Bank Transfer</t>
  </si>
  <si>
    <t>087ce1b7-002d-4d9a-aee4-2b640cdd969b</t>
  </si>
  <si>
    <t>Monitor</t>
  </si>
  <si>
    <t>Peripherals</t>
  </si>
  <si>
    <t>Jacob Miller</t>
  </si>
  <si>
    <t>South America</t>
  </si>
  <si>
    <t>PayPal</t>
  </si>
  <si>
    <t>9336fcd0-aa2f-4e77-98e9-a78a9d89493e</t>
  </si>
  <si>
    <t>Headphones</t>
  </si>
  <si>
    <t>Michael Murphy</t>
  </si>
  <si>
    <t>Europe</t>
  </si>
  <si>
    <t>2a5f5649-a82b-492d-8270-f822d6aae969</t>
  </si>
  <si>
    <t>Laptop</t>
  </si>
  <si>
    <t>Accessories</t>
  </si>
  <si>
    <t>Catherine Romero</t>
  </si>
  <si>
    <t>c87f2648-1baf-45ac-aebd-368f28d38ed6</t>
  </si>
  <si>
    <t>Justin Becker</t>
  </si>
  <si>
    <t>Cash</t>
  </si>
  <si>
    <t>a07aed29-c2a2-4501-9aee-dc4b2a214749</t>
  </si>
  <si>
    <t>Tablet</t>
  </si>
  <si>
    <t>Ashley Anderson</t>
  </si>
  <si>
    <t>Australia</t>
  </si>
  <si>
    <t>9217d712-a073-4141-ae7a-f658e9995392</t>
  </si>
  <si>
    <t>Kristine Buck</t>
  </si>
  <si>
    <t>Asia</t>
  </si>
  <si>
    <t>cdddda01-70b7-4b43-8abb-f7b6ace9e665</t>
  </si>
  <si>
    <t>Sydney Cantrell</t>
  </si>
  <si>
    <t>24423b3c-47c3-4485-8102-f835a5b0a5b5</t>
  </si>
  <si>
    <t>Scott Williams</t>
  </si>
  <si>
    <t>28158079-5cf9-49fc-aae7-2ded097846d6</t>
  </si>
  <si>
    <t>Dr. Nathaniel James</t>
  </si>
  <si>
    <t>1b8ca99f-f810-4693-a052-472d2b04b82b</t>
  </si>
  <si>
    <t>Anthony Medina</t>
  </si>
  <si>
    <t>d1058f12-da41-4b9e-800d-f9c9bc5e0457</t>
  </si>
  <si>
    <t>Gary Williams</t>
  </si>
  <si>
    <t>8a2513a9-a75d-42ff-8197-bc679cc0f227</t>
  </si>
  <si>
    <t>Kevin Jones</t>
  </si>
  <si>
    <t>f22e469a-a00a-41ee-b6be-d854d6f73bfd</t>
  </si>
  <si>
    <t>Joseph Wagner</t>
  </si>
  <si>
    <t>661ad567-f5d0-46a7-84e3-80da711fb043</t>
  </si>
  <si>
    <t>Christopher James</t>
  </si>
  <si>
    <t>36ac5332-c515-4a9d-8d57-186cc1511a9a</t>
  </si>
  <si>
    <t>Frances Campbell</t>
  </si>
  <si>
    <t>Credit Card</t>
  </si>
  <si>
    <t>c148d547-ebed-4179-92e3-682958d17816</t>
  </si>
  <si>
    <t>Jeffrey Evans</t>
  </si>
  <si>
    <t>1ecaefd3-abda-49c4-b626-128b4ea40c04</t>
  </si>
  <si>
    <t>Adam Benson</t>
  </si>
  <si>
    <t>c57039a1-5734-4b46-b157-e27272636480</t>
  </si>
  <si>
    <t>Tanner Duke</t>
  </si>
  <si>
    <t>f71aec0f-c4b8-4958-a672-a5f9967f6e43</t>
  </si>
  <si>
    <t>Leslie Nichols</t>
  </si>
  <si>
    <t>6339e783-cb09-435b-b2c1-ac12882fe796</t>
  </si>
  <si>
    <t>Jennifer Choi</t>
  </si>
  <si>
    <t>0c9048e0-dc5c-4b6a-8f59-7e0076f6994a</t>
  </si>
  <si>
    <t>Paul Lane</t>
  </si>
  <si>
    <t>45d144cf-ea41-41cb-82ef-be55d5297dc8</t>
  </si>
  <si>
    <t>Kenneth Smith</t>
  </si>
  <si>
    <t>f632f0b8-ab08-431a-97fa-e2a45d174774</t>
  </si>
  <si>
    <t>Jesus Fisher</t>
  </si>
  <si>
    <t>05eeb116-0fe3-4303-925b-700fb54a8efd</t>
  </si>
  <si>
    <t>Kyle Vargas</t>
  </si>
  <si>
    <t>5648eaad-3a9a-4558-9425-1b9f7836d240</t>
  </si>
  <si>
    <t>Maria Smith</t>
  </si>
  <si>
    <t>2424047d-da1a-440d-b3c0-c444dd18a0e2</t>
  </si>
  <si>
    <t>Jose Bradley</t>
  </si>
  <si>
    <t>0d4f4594-f71f-4f83-87d0-2327ebbee2f2</t>
  </si>
  <si>
    <t>Leah Orozco</t>
  </si>
  <si>
    <t>d7e03cc4-689a-4bdb-9c22-5a7ffb8005a7</t>
  </si>
  <si>
    <t>Nathan Burns</t>
  </si>
  <si>
    <t>961d7def-76c6-4bb2-8b0b-be0ac068dc62</t>
  </si>
  <si>
    <t>Andrew Simmons</t>
  </si>
  <si>
    <t>1a768ab1-0c89-424b-8238-668f061ead58</t>
  </si>
  <si>
    <t>Alicia Ortiz</t>
  </si>
  <si>
    <t>939a4e81-cf3e-4624-bc44-1ea2fed66add</t>
  </si>
  <si>
    <t>Ashley Jackson</t>
  </si>
  <si>
    <t>5ff223b1-0466-4787-9308-50bf6cd7021e</t>
  </si>
  <si>
    <t>Christine Cortez</t>
  </si>
  <si>
    <t>b0ab0e1a-b681-4d57-80b4-4d39c0a03834</t>
  </si>
  <si>
    <t>Mark Solomon</t>
  </si>
  <si>
    <t>4ad49479-363c-4c62-8070-e118e0c5c021</t>
  </si>
  <si>
    <t>Katherine Baker</t>
  </si>
  <si>
    <t>cbcb487c-9269-4ab6-a40d-b6b6b05e5f24</t>
  </si>
  <si>
    <t>Anthony Stafford</t>
  </si>
  <si>
    <t>b0beb874-2d0f-4300-a17b-980d443063b7</t>
  </si>
  <si>
    <t>Monique Smith</t>
  </si>
  <si>
    <t>b89618f8-2da4-4bc8-91e5-eecc1e5fd811</t>
  </si>
  <si>
    <t>Isabel Harris</t>
  </si>
  <si>
    <t>40eddc0d-8cb6-48a1-9ba0-9dd00e90ef0b</t>
  </si>
  <si>
    <t>Meghan Lewis</t>
  </si>
  <si>
    <t>828c0857-3ed9-43d7-8ffe-08affe971005</t>
  </si>
  <si>
    <t>Justin Oconnor</t>
  </si>
  <si>
    <t>e8206bb6-e9a5-46bd-8b95-58d1c4531283</t>
  </si>
  <si>
    <t>Daniel Ray</t>
  </si>
  <si>
    <t>35d93e66-d987-4345-b070-40e816eafce9</t>
  </si>
  <si>
    <t>Monica Fisher</t>
  </si>
  <si>
    <t>8937f676-e9a2-4c47-985f-4cfdbfd4a371</t>
  </si>
  <si>
    <t>Tanya Lawrence</t>
  </si>
  <si>
    <t>24755a70-2700-480a-a2ac-e93cb0c9e9f6</t>
  </si>
  <si>
    <t>Sheila Stevens</t>
  </si>
  <si>
    <t>4271cb22-e52f-4c84-9e2d-02d07802d527</t>
  </si>
  <si>
    <t>Eugene Combs</t>
  </si>
  <si>
    <t>46395c1d-8785-4ab5-8776-3e82a6267938</t>
  </si>
  <si>
    <t>Joshua Wright</t>
  </si>
  <si>
    <t>85727891-ddba-4ec6-ab78-a0587fa7c2bb</t>
  </si>
  <si>
    <t>Rachel Osborn</t>
  </si>
  <si>
    <t>1e9404ec-bb75-4f8e-99e5-58e45b59dd69</t>
  </si>
  <si>
    <t>Shawn Barker</t>
  </si>
  <si>
    <t>ca1bb94f-2c88-49b9-aaee-21d5e8c05331</t>
  </si>
  <si>
    <t>Joel Graves</t>
  </si>
  <si>
    <t>1c782054-c27b-45db-a843-0341651263ef</t>
  </si>
  <si>
    <t>Erica Campbell</t>
  </si>
  <si>
    <t>171edb70-ed96-4538-bfce-196d7b01044a</t>
  </si>
  <si>
    <t>Susan Garcia</t>
  </si>
  <si>
    <t>a3b6029d-8abd-4bf2-9adb-99ef7185f073</t>
  </si>
  <si>
    <t>Steven Mason</t>
  </si>
  <si>
    <t>e7285ed8-0838-42e6-89dc-7ce03c1b2d70</t>
  </si>
  <si>
    <t>Kevin Lopez</t>
  </si>
  <si>
    <t>460d43d9-90d5-483c-b2df-16a07846e6c1</t>
  </si>
  <si>
    <t>Jamie Wilkinson</t>
  </si>
  <si>
    <t>f928a10b-1d62-4e1c-9599-565c7c31d9f7</t>
  </si>
  <si>
    <t>Peter White</t>
  </si>
  <si>
    <t>78558bed-6604-4bf6-b532-904a9124eabc</t>
  </si>
  <si>
    <t>Melissa Myers</t>
  </si>
  <si>
    <t>c5efe080-e9cf-48c7-9649-0a44ea077fdf</t>
  </si>
  <si>
    <t>Jennifer Brown</t>
  </si>
  <si>
    <t>ba1a0b82-7b59-4d0d-ba4c-69d66970be3f</t>
  </si>
  <si>
    <t>Jeremy Cisneros</t>
  </si>
  <si>
    <t>092a5309-7cd7-4b6a-9165-c24aeb208d93</t>
  </si>
  <si>
    <t>Nancy Lawrence</t>
  </si>
  <si>
    <t>9c6fb47d-d3a6-45ed-bb18-69f28b04c1ce</t>
  </si>
  <si>
    <t>Dr. Erica Waters</t>
  </si>
  <si>
    <t>df513af4-ab3c-4304-a141-3a9b3890e43a</t>
  </si>
  <si>
    <t>Sarah Morris</t>
  </si>
  <si>
    <t>72b200c4-cd9e-4836-90fc-b42fa9344713</t>
  </si>
  <si>
    <t>Matthew Silva</t>
  </si>
  <si>
    <t>1f7f7ff0-7866-410d-97ea-c4107403919a</t>
  </si>
  <si>
    <t>Ashley Luna</t>
  </si>
  <si>
    <t>1474bcb6-b610-4baa-804b-03074e856176</t>
  </si>
  <si>
    <t>James Peterson</t>
  </si>
  <si>
    <t>11bb0e60-74b4-490a-a73d-161bae23b68b</t>
  </si>
  <si>
    <t>Alexis Lewis MD</t>
  </si>
  <si>
    <t>7d2d9fcb-e998-466e-b4ca-6617dda3a954</t>
  </si>
  <si>
    <t>Joyce Ellis</t>
  </si>
  <si>
    <t>84220a6d-cdfb-48bd-b566-70ea9fa04579</t>
  </si>
  <si>
    <t>Cody Smith</t>
  </si>
  <si>
    <t>6facee1b-8c38-40ee-a560-36be078b32b8</t>
  </si>
  <si>
    <t>Amy Carlson</t>
  </si>
  <si>
    <t>de97ffa7-7fc3-46d3-98c1-873b630d3066</t>
  </si>
  <si>
    <t>Karina Chapman</t>
  </si>
  <si>
    <t>59d292fe-9f75-4580-a4f7-1b710fe58f5c</t>
  </si>
  <si>
    <t>Joshua Miller</t>
  </si>
  <si>
    <t>bec9337f-6485-4624-8424-8592d2ab9869</t>
  </si>
  <si>
    <t>Christine Robinson</t>
  </si>
  <si>
    <t>35595446-9468-423a-a119-5ee09317fea5</t>
  </si>
  <si>
    <t>Johnny Reyes</t>
  </si>
  <si>
    <t>c51d126a-6ed5-4e66-a7a2-1b5743359fd1</t>
  </si>
  <si>
    <t>Michael Stevens</t>
  </si>
  <si>
    <t>9816baee-17b4-4006-97e7-ac045960dc04</t>
  </si>
  <si>
    <t>Katherine Jackson</t>
  </si>
  <si>
    <t>0acdcd0a-be70-4ffb-89ff-d2d2846a2040</t>
  </si>
  <si>
    <t>Chad Green</t>
  </si>
  <si>
    <t>b95ad937-2d8a-4106-8e64-1521f61e3856</t>
  </si>
  <si>
    <t>Kelly Barker</t>
  </si>
  <si>
    <t>ec3d3fa6-1c42-4551-a417-bb2901687555</t>
  </si>
  <si>
    <t>James Smith</t>
  </si>
  <si>
    <t>e8d43063-1abc-4f04-97d4-72f2628ab0a8</t>
  </si>
  <si>
    <t>Patricia Wise</t>
  </si>
  <si>
    <t>bc630858-69fb-4d89-81bb-eaf6133b8c0f</t>
  </si>
  <si>
    <t>Hunter Lawrence</t>
  </si>
  <si>
    <t>d6cbc42a-6f03-4ae4-98c2-7d7b32d9c610</t>
  </si>
  <si>
    <t>Nicholas Howell</t>
  </si>
  <si>
    <t>18ea7170-91a6-43b9-b76f-279ffb4e257f</t>
  </si>
  <si>
    <t>Joy Page</t>
  </si>
  <si>
    <t>f5a0084a-6c53-403b-a528-3b01bc612874</t>
  </si>
  <si>
    <t>Caitlyn Curry</t>
  </si>
  <si>
    <t>afc10b8a-a34f-4a52-9d84-1f78b7de3820</t>
  </si>
  <si>
    <t>Timothy Dixon</t>
  </si>
  <si>
    <t>e00bc646-88c6-4f81-84ae-7ff3579e8002</t>
  </si>
  <si>
    <t>Matthew Stone</t>
  </si>
  <si>
    <t>48404ed4-b707-4808-86be-b0e0b568d9f2</t>
  </si>
  <si>
    <t>Jack Perry</t>
  </si>
  <si>
    <t>4fa4b793-7ac2-4d68-b764-37fe0bc5efd1</t>
  </si>
  <si>
    <t>Kimberly Thompson</t>
  </si>
  <si>
    <t>2f2bec6a-b32e-4dc8-a0ac-8d40c1ec43b9</t>
  </si>
  <si>
    <t>Casey Miller</t>
  </si>
  <si>
    <t>0de3c18d-e946-47b6-ab99-afe5d85aa26d</t>
  </si>
  <si>
    <t>Connie Drake</t>
  </si>
  <si>
    <t>88ca4ab4-fb6d-4bf6-9720-de000bd619ba</t>
  </si>
  <si>
    <t>Thomas Hayden</t>
  </si>
  <si>
    <t>f9c3f750-7644-4ec7-b51c-1dfaa7a909e4</t>
  </si>
  <si>
    <t>Tina Foster</t>
  </si>
  <si>
    <t>4176d562-80a8-4680-b9f9-7209d24fd196</t>
  </si>
  <si>
    <t>Ryan Lopez</t>
  </si>
  <si>
    <t>4200294e-94ad-4162-9d49-a49a8951cd60</t>
  </si>
  <si>
    <t>Kevin Johnson</t>
  </si>
  <si>
    <t>e9a8fad7-40bc-4c75-b539-55558481b7dd</t>
  </si>
  <si>
    <t>Brandon Potter</t>
  </si>
  <si>
    <t>2b258575-5877-423f-97dd-bd8d4c32c137</t>
  </si>
  <si>
    <t>Zachary Gray</t>
  </si>
  <si>
    <t>b911bf22-a3ad-4f5a-a3b7-9ba82ba354e4</t>
  </si>
  <si>
    <t>Kimberly Shelton</t>
  </si>
  <si>
    <t>d99a0d48-2646-4087-a603-dfd3eee22fb9</t>
  </si>
  <si>
    <t>Rebekah Jones</t>
  </si>
  <si>
    <t>54fdfb80-df2a-4dc3-a195-1edc8832bd4b</t>
  </si>
  <si>
    <t>Steven Sanders</t>
  </si>
  <si>
    <t>ae10ac77-3883-4992-8064-9ff9f9a4f566</t>
  </si>
  <si>
    <t>Renee Taylor</t>
  </si>
  <si>
    <t>590f7c92-2ae3-4415-85ea-a936fc3af238</t>
  </si>
  <si>
    <t>Kristen Dodson</t>
  </si>
  <si>
    <t>829fc928-b7c4-46cc-96c6-f85cf75c8ad5</t>
  </si>
  <si>
    <t>Carol King</t>
  </si>
  <si>
    <t>Row Labels</t>
  </si>
  <si>
    <t>Grand Total</t>
  </si>
  <si>
    <t>Sum of Quantity Sold</t>
  </si>
  <si>
    <t>Sum of Revenue ($)</t>
  </si>
  <si>
    <t>Column Labels</t>
  </si>
  <si>
    <t>Jan</t>
  </si>
  <si>
    <t>Feb</t>
  </si>
  <si>
    <t>Mar</t>
  </si>
  <si>
    <t>Apr</t>
  </si>
  <si>
    <t>May</t>
  </si>
  <si>
    <t>Jun</t>
  </si>
  <si>
    <t>Jul</t>
  </si>
  <si>
    <t>Sep</t>
  </si>
  <si>
    <t>Oct</t>
  </si>
  <si>
    <t>Nov</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</si>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</sst>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409]* #,##0.00_ ;_-[$$-409]* \-#,##0.00\ ;_-[$$-409]* &quot;-&quot;??_ ;_-@_ "/>
  </numFmts>
  <fonts count="4"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64" fontId="0" fillId="0" borderId="0" xfId="0" applyNumberFormat="1"/>
    <xf numFmtId="165" fontId="1" fillId="0" borderId="1" xfId="0" applyNumberFormat="1" applyFont="1" applyBorder="1" applyAlignment="1">
      <alignment horizontal="center" vertical="top"/>
    </xf>
    <xf numFmtId="165" fontId="0" fillId="0" borderId="0" xfId="0" applyNumberFormat="1"/>
    <xf numFmtId="10" fontId="0" fillId="0" borderId="0" xfId="1" applyNumberFormat="1" applyFont="1"/>
    <xf numFmtId="2" fontId="1" fillId="0" borderId="1" xfId="1" applyNumberFormat="1" applyFont="1" applyBorder="1" applyAlignment="1">
      <alignment horizontal="center" vertical="top"/>
    </xf>
    <xf numFmtId="2" fontId="0" fillId="0" borderId="0" xfId="1" applyNumberFormat="1" applyFont="1"/>
    <xf numFmtId="0" fontId="0" fillId="0" borderId="0" xfId="0" pivotButton="1"/>
    <xf numFmtId="0" fontId="0" fillId="0" borderId="0" xfId="0" applyAlignment="1">
      <alignment horizontal="left"/>
    </xf>
    <xf numFmtId="0" fontId="3" fillId="2" borderId="2" xfId="0" applyFont="1" applyFill="1" applyBorder="1"/>
    <xf numFmtId="10" fontId="0" fillId="0" borderId="0" xfId="0" applyNumberFormat="1"/>
    <xf numFmtId="9"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Alignment="1">
      <alignment vertical="center"/>
    </xf>
    <xf numFmtId="0" fontId="0" fillId="0" borderId="0" xfId="0" applyNumberForma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solidFill>
                <a:effectLst/>
              </a:rPr>
              <a:t>Headphones</a:t>
            </a:r>
            <a:r>
              <a:rPr lang="en-IN" sz="1400" b="1" i="0" u="none" strike="noStrike" baseline="0">
                <a:effectLst/>
              </a:rPr>
              <a:t> </a:t>
            </a:r>
            <a:endParaRPr lang="en-IN" b="1"/>
          </a:p>
        </c:rich>
      </c:tx>
      <c:layout>
        <c:manualLayout>
          <c:xMode val="edge"/>
          <c:yMode val="edge"/>
          <c:x val="0.35098502758077227"/>
          <c:y val="0.195421552205471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24190322840850567"/>
          <c:y val="0.14008933556672251"/>
          <c:w val="0.51619385342789603"/>
          <c:h val="0.73149078726968175"/>
        </c:manualLayout>
      </c:layout>
      <c:doughnutChart>
        <c:varyColors val="1"/>
        <c:ser>
          <c:idx val="0"/>
          <c:order val="0"/>
          <c:spPr>
            <a:effectLst>
              <a:glow rad="12700">
                <a:schemeClr val="accent1">
                  <a:alpha val="40000"/>
                </a:schemeClr>
              </a:glow>
            </a:effectLst>
          </c:spPr>
          <c:dPt>
            <c:idx val="0"/>
            <c:bubble3D val="0"/>
            <c:spPr>
              <a:solidFill>
                <a:schemeClr val="accent1"/>
              </a:solidFill>
              <a:ln w="19050">
                <a:noFill/>
              </a:ln>
              <a:effectLst>
                <a:glow rad="12700">
                  <a:schemeClr val="accent1">
                    <a:alpha val="40000"/>
                  </a:schemeClr>
                </a:glow>
              </a:effectLst>
            </c:spPr>
            <c:extLst>
              <c:ext xmlns:c16="http://schemas.microsoft.com/office/drawing/2014/chart" uri="{C3380CC4-5D6E-409C-BE32-E72D297353CC}">
                <c16:uniqueId val="{00000001-5F9A-4D19-8EB8-85ACF3C1A3E9}"/>
              </c:ext>
            </c:extLst>
          </c:dPt>
          <c:dPt>
            <c:idx val="1"/>
            <c:bubble3D val="0"/>
            <c:spPr>
              <a:solidFill>
                <a:schemeClr val="accent1">
                  <a:lumMod val="20000"/>
                  <a:lumOff val="80000"/>
                </a:schemeClr>
              </a:solidFill>
              <a:ln w="19050">
                <a:noFill/>
              </a:ln>
              <a:effectLst>
                <a:glow rad="12700">
                  <a:schemeClr val="accent1">
                    <a:alpha val="40000"/>
                  </a:schemeClr>
                </a:glow>
              </a:effectLst>
            </c:spPr>
            <c:extLst>
              <c:ext xmlns:c16="http://schemas.microsoft.com/office/drawing/2014/chart" uri="{C3380CC4-5D6E-409C-BE32-E72D297353CC}">
                <c16:uniqueId val="{00000003-5F9A-4D19-8EB8-85ACF3C1A3E9}"/>
              </c:ext>
            </c:extLst>
          </c:dPt>
          <c:dPt>
            <c:idx val="2"/>
            <c:bubble3D val="0"/>
            <c:spPr>
              <a:noFill/>
              <a:ln w="19050">
                <a:noFill/>
              </a:ln>
              <a:effectLst>
                <a:glow rad="12700">
                  <a:schemeClr val="accent1">
                    <a:alpha val="40000"/>
                  </a:schemeClr>
                </a:glow>
              </a:effectLst>
            </c:spPr>
            <c:extLst>
              <c:ext xmlns:c16="http://schemas.microsoft.com/office/drawing/2014/chart" uri="{C3380CC4-5D6E-409C-BE32-E72D297353CC}">
                <c16:uniqueId val="{00000005-5F9A-4D19-8EB8-85ACF3C1A3E9}"/>
              </c:ext>
            </c:extLst>
          </c:dPt>
          <c:val>
            <c:numRef>
              <c:f>pi_t!$D$3:$F$3</c:f>
              <c:numCache>
                <c:formatCode>0.00%</c:formatCode>
                <c:ptCount val="3"/>
                <c:pt idx="0">
                  <c:v>0.27194246044679893</c:v>
                </c:pt>
                <c:pt idx="1">
                  <c:v>0.72805753955320107</c:v>
                </c:pt>
                <c:pt idx="2" formatCode="0%">
                  <c:v>1</c:v>
                </c:pt>
              </c:numCache>
            </c:numRef>
          </c:val>
          <c:extLst>
            <c:ext xmlns:c16="http://schemas.microsoft.com/office/drawing/2014/chart" uri="{C3380CC4-5D6E-409C-BE32-E72D297353CC}">
              <c16:uniqueId val="{00000006-5F9A-4D19-8EB8-85ACF3C1A3E9}"/>
            </c:ext>
          </c:extLst>
        </c:ser>
        <c:dLbls>
          <c:showLegendKey val="0"/>
          <c:showVal val="0"/>
          <c:showCatName val="0"/>
          <c:showSerName val="0"/>
          <c:showPercent val="0"/>
          <c:showBubbleSize val="0"/>
          <c:showLeaderLines val="1"/>
        </c:dLbls>
        <c:firstSliceAng val="270"/>
        <c:holeSize val="5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sz="1400" b="1" i="0" u="none" strike="noStrike" baseline="0">
                <a:solidFill>
                  <a:schemeClr val="tx2"/>
                </a:solidFill>
                <a:effectLst/>
              </a:rPr>
              <a:t>Monitor  </a:t>
            </a:r>
            <a:endParaRPr lang="en-IN" b="1">
              <a:solidFill>
                <a:schemeClr val="tx2"/>
              </a:solidFill>
            </a:endParaRPr>
          </a:p>
        </c:rich>
      </c:tx>
      <c:layout>
        <c:manualLayout>
          <c:xMode val="edge"/>
          <c:yMode val="edge"/>
          <c:x val="0.40614657210401889"/>
          <c:y val="0.1730876605248464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IN"/>
        </a:p>
      </c:txPr>
    </c:title>
    <c:autoTitleDeleted val="0"/>
    <c:plotArea>
      <c:layout>
        <c:manualLayout>
          <c:layoutTarget val="inner"/>
          <c:xMode val="edge"/>
          <c:yMode val="edge"/>
          <c:x val="0.23796311808541662"/>
          <c:y val="0.14008933556672251"/>
          <c:w val="0.51619385342789603"/>
          <c:h val="0.73149078726968175"/>
        </c:manualLayout>
      </c:layout>
      <c:doughnutChart>
        <c:varyColors val="1"/>
        <c:ser>
          <c:idx val="0"/>
          <c:order val="0"/>
          <c:spPr>
            <a:effectLst>
              <a:glow rad="12700">
                <a:schemeClr val="accent1">
                  <a:alpha val="40000"/>
                </a:schemeClr>
              </a:glow>
            </a:effectLst>
          </c:spPr>
          <c:dPt>
            <c:idx val="0"/>
            <c:bubble3D val="0"/>
            <c:spPr>
              <a:solidFill>
                <a:schemeClr val="accent1"/>
              </a:solidFill>
              <a:ln w="19050">
                <a:noFill/>
              </a:ln>
              <a:effectLst>
                <a:glow rad="12700">
                  <a:schemeClr val="accent1">
                    <a:alpha val="40000"/>
                  </a:schemeClr>
                </a:glow>
              </a:effectLst>
            </c:spPr>
            <c:extLst>
              <c:ext xmlns:c16="http://schemas.microsoft.com/office/drawing/2014/chart" uri="{C3380CC4-5D6E-409C-BE32-E72D297353CC}">
                <c16:uniqueId val="{00000001-A28A-4D64-813C-04586890BC98}"/>
              </c:ext>
            </c:extLst>
          </c:dPt>
          <c:dPt>
            <c:idx val="1"/>
            <c:bubble3D val="0"/>
            <c:spPr>
              <a:solidFill>
                <a:schemeClr val="accent1">
                  <a:lumMod val="20000"/>
                  <a:lumOff val="80000"/>
                </a:schemeClr>
              </a:solidFill>
              <a:ln w="19050">
                <a:noFill/>
              </a:ln>
              <a:effectLst>
                <a:glow rad="12700">
                  <a:schemeClr val="accent1">
                    <a:alpha val="40000"/>
                  </a:schemeClr>
                </a:glow>
              </a:effectLst>
            </c:spPr>
            <c:extLst>
              <c:ext xmlns:c16="http://schemas.microsoft.com/office/drawing/2014/chart" uri="{C3380CC4-5D6E-409C-BE32-E72D297353CC}">
                <c16:uniqueId val="{00000003-A28A-4D64-813C-04586890BC98}"/>
              </c:ext>
            </c:extLst>
          </c:dPt>
          <c:dPt>
            <c:idx val="2"/>
            <c:bubble3D val="0"/>
            <c:spPr>
              <a:noFill/>
              <a:ln w="19050">
                <a:noFill/>
              </a:ln>
              <a:effectLst>
                <a:glow rad="12700">
                  <a:schemeClr val="accent1">
                    <a:alpha val="40000"/>
                  </a:schemeClr>
                </a:glow>
              </a:effectLst>
            </c:spPr>
            <c:extLst>
              <c:ext xmlns:c16="http://schemas.microsoft.com/office/drawing/2014/chart" uri="{C3380CC4-5D6E-409C-BE32-E72D297353CC}">
                <c16:uniqueId val="{00000005-A28A-4D64-813C-04586890BC98}"/>
              </c:ext>
            </c:extLst>
          </c:dPt>
          <c:val>
            <c:numRef>
              <c:f>pi_t!$D$5:$F$5</c:f>
              <c:numCache>
                <c:formatCode>0.00%</c:formatCode>
                <c:ptCount val="3"/>
                <c:pt idx="0">
                  <c:v>0.11017702313306266</c:v>
                </c:pt>
                <c:pt idx="1">
                  <c:v>0.88982297686693734</c:v>
                </c:pt>
                <c:pt idx="2" formatCode="0%">
                  <c:v>1</c:v>
                </c:pt>
              </c:numCache>
            </c:numRef>
          </c:val>
          <c:extLst>
            <c:ext xmlns:c16="http://schemas.microsoft.com/office/drawing/2014/chart" uri="{C3380CC4-5D6E-409C-BE32-E72D297353CC}">
              <c16:uniqueId val="{00000006-A28A-4D64-813C-04586890BC98}"/>
            </c:ext>
          </c:extLst>
        </c:ser>
        <c:dLbls>
          <c:showLegendKey val="0"/>
          <c:showVal val="0"/>
          <c:showCatName val="0"/>
          <c:showSerName val="0"/>
          <c:showPercent val="0"/>
          <c:showBubbleSize val="0"/>
          <c:showLeaderLines val="1"/>
        </c:dLbls>
        <c:firstSliceAng val="270"/>
        <c:holeSize val="5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sz="1400" b="1" i="0" u="none" strike="noStrike" baseline="0">
                <a:solidFill>
                  <a:schemeClr val="tx2"/>
                </a:solidFill>
                <a:effectLst/>
              </a:rPr>
              <a:t>Smartphone  </a:t>
            </a:r>
            <a:endParaRPr lang="en-IN" b="1">
              <a:solidFill>
                <a:schemeClr val="tx2"/>
              </a:solidFill>
            </a:endParaRPr>
          </a:p>
        </c:rich>
      </c:tx>
      <c:layout>
        <c:manualLayout>
          <c:xMode val="edge"/>
          <c:yMode val="edge"/>
          <c:x val="0.34310480693459416"/>
          <c:y val="0.1898380792853154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IN"/>
        </a:p>
      </c:txPr>
    </c:title>
    <c:autoTitleDeleted val="0"/>
    <c:plotArea>
      <c:layout>
        <c:manualLayout>
          <c:layoutTarget val="inner"/>
          <c:xMode val="edge"/>
          <c:yMode val="edge"/>
          <c:x val="0.24190322840850567"/>
          <c:y val="0.14008933556672251"/>
          <c:w val="0.51619385342789603"/>
          <c:h val="0.73149078726968175"/>
        </c:manualLayout>
      </c:layout>
      <c:doughnutChart>
        <c:varyColors val="1"/>
        <c:ser>
          <c:idx val="0"/>
          <c:order val="0"/>
          <c:spPr>
            <a:effectLst>
              <a:glow rad="12700">
                <a:schemeClr val="accent1">
                  <a:alpha val="40000"/>
                </a:schemeClr>
              </a:glow>
            </a:effectLst>
          </c:spPr>
          <c:dPt>
            <c:idx val="0"/>
            <c:bubble3D val="0"/>
            <c:spPr>
              <a:solidFill>
                <a:schemeClr val="accent1"/>
              </a:solidFill>
              <a:ln w="19050">
                <a:noFill/>
              </a:ln>
              <a:effectLst>
                <a:glow rad="12700">
                  <a:schemeClr val="accent1">
                    <a:alpha val="40000"/>
                  </a:schemeClr>
                </a:glow>
              </a:effectLst>
            </c:spPr>
            <c:extLst>
              <c:ext xmlns:c16="http://schemas.microsoft.com/office/drawing/2014/chart" uri="{C3380CC4-5D6E-409C-BE32-E72D297353CC}">
                <c16:uniqueId val="{00000001-4E22-47DA-960D-9ECB3AD06485}"/>
              </c:ext>
            </c:extLst>
          </c:dPt>
          <c:dPt>
            <c:idx val="1"/>
            <c:bubble3D val="0"/>
            <c:spPr>
              <a:solidFill>
                <a:schemeClr val="accent1">
                  <a:lumMod val="20000"/>
                  <a:lumOff val="80000"/>
                </a:schemeClr>
              </a:solidFill>
              <a:ln w="19050">
                <a:noFill/>
              </a:ln>
              <a:effectLst>
                <a:glow rad="12700">
                  <a:schemeClr val="accent1">
                    <a:alpha val="40000"/>
                  </a:schemeClr>
                </a:glow>
              </a:effectLst>
            </c:spPr>
            <c:extLst>
              <c:ext xmlns:c16="http://schemas.microsoft.com/office/drawing/2014/chart" uri="{C3380CC4-5D6E-409C-BE32-E72D297353CC}">
                <c16:uniqueId val="{00000003-4E22-47DA-960D-9ECB3AD06485}"/>
              </c:ext>
            </c:extLst>
          </c:dPt>
          <c:dPt>
            <c:idx val="2"/>
            <c:bubble3D val="0"/>
            <c:spPr>
              <a:noFill/>
              <a:ln w="19050">
                <a:noFill/>
              </a:ln>
              <a:effectLst>
                <a:glow rad="12700">
                  <a:schemeClr val="accent1">
                    <a:alpha val="40000"/>
                  </a:schemeClr>
                </a:glow>
              </a:effectLst>
            </c:spPr>
            <c:extLst>
              <c:ext xmlns:c16="http://schemas.microsoft.com/office/drawing/2014/chart" uri="{C3380CC4-5D6E-409C-BE32-E72D297353CC}">
                <c16:uniqueId val="{00000005-4E22-47DA-960D-9ECB3AD06485}"/>
              </c:ext>
            </c:extLst>
          </c:dPt>
          <c:val>
            <c:numRef>
              <c:f>pi_t!$D$6:$F$6</c:f>
              <c:numCache>
                <c:formatCode>0.00%</c:formatCode>
                <c:ptCount val="3"/>
                <c:pt idx="0">
                  <c:v>0.18955891182280077</c:v>
                </c:pt>
                <c:pt idx="1">
                  <c:v>0.81044108817719929</c:v>
                </c:pt>
                <c:pt idx="2" formatCode="0%">
                  <c:v>1</c:v>
                </c:pt>
              </c:numCache>
            </c:numRef>
          </c:val>
          <c:extLst>
            <c:ext xmlns:c16="http://schemas.microsoft.com/office/drawing/2014/chart" uri="{C3380CC4-5D6E-409C-BE32-E72D297353CC}">
              <c16:uniqueId val="{00000006-4E22-47DA-960D-9ECB3AD06485}"/>
            </c:ext>
          </c:extLst>
        </c:ser>
        <c:dLbls>
          <c:showLegendKey val="0"/>
          <c:showVal val="0"/>
          <c:showCatName val="0"/>
          <c:showSerName val="0"/>
          <c:showPercent val="0"/>
          <c:showBubbleSize val="0"/>
          <c:showLeaderLines val="1"/>
        </c:dLbls>
        <c:firstSliceAng val="270"/>
        <c:holeSize val="5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sz="1400" b="1" i="0" u="none" strike="noStrike" baseline="0">
                <a:solidFill>
                  <a:schemeClr val="tx2"/>
                </a:solidFill>
                <a:effectLst/>
              </a:rPr>
              <a:t>Laptop </a:t>
            </a:r>
            <a:endParaRPr lang="en-IN" b="1">
              <a:solidFill>
                <a:schemeClr val="tx2"/>
              </a:solidFill>
            </a:endParaRPr>
          </a:p>
        </c:rich>
      </c:tx>
      <c:layout>
        <c:manualLayout>
          <c:xMode val="edge"/>
          <c:yMode val="edge"/>
          <c:x val="0.41402679275019699"/>
          <c:y val="0.17867113344500279"/>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IN"/>
        </a:p>
      </c:txPr>
    </c:title>
    <c:autoTitleDeleted val="0"/>
    <c:plotArea>
      <c:layout>
        <c:manualLayout>
          <c:layoutTarget val="inner"/>
          <c:xMode val="edge"/>
          <c:yMode val="edge"/>
          <c:x val="0.24978344905468378"/>
          <c:y val="0.15125628140703518"/>
          <c:w val="0.51619385342789603"/>
          <c:h val="0.73149078726968175"/>
        </c:manualLayout>
      </c:layout>
      <c:doughnutChart>
        <c:varyColors val="1"/>
        <c:ser>
          <c:idx val="0"/>
          <c:order val="0"/>
          <c:spPr>
            <a:effectLst>
              <a:glow rad="12700">
                <a:schemeClr val="accent1">
                  <a:alpha val="40000"/>
                </a:schemeClr>
              </a:glow>
            </a:effectLst>
          </c:spPr>
          <c:dPt>
            <c:idx val="0"/>
            <c:bubble3D val="0"/>
            <c:spPr>
              <a:solidFill>
                <a:schemeClr val="accent1"/>
              </a:solidFill>
              <a:ln w="19050">
                <a:noFill/>
              </a:ln>
              <a:effectLst>
                <a:glow rad="12700">
                  <a:schemeClr val="accent1">
                    <a:alpha val="40000"/>
                  </a:schemeClr>
                </a:glow>
              </a:effectLst>
            </c:spPr>
            <c:extLst>
              <c:ext xmlns:c16="http://schemas.microsoft.com/office/drawing/2014/chart" uri="{C3380CC4-5D6E-409C-BE32-E72D297353CC}">
                <c16:uniqueId val="{00000001-6D16-4311-ACA4-6EB97DC5EF66}"/>
              </c:ext>
            </c:extLst>
          </c:dPt>
          <c:dPt>
            <c:idx val="1"/>
            <c:bubble3D val="0"/>
            <c:spPr>
              <a:solidFill>
                <a:schemeClr val="accent1">
                  <a:lumMod val="20000"/>
                  <a:lumOff val="80000"/>
                </a:schemeClr>
              </a:solidFill>
              <a:ln w="19050">
                <a:noFill/>
              </a:ln>
              <a:effectLst>
                <a:glow rad="12700">
                  <a:schemeClr val="accent1">
                    <a:alpha val="40000"/>
                  </a:schemeClr>
                </a:glow>
              </a:effectLst>
            </c:spPr>
            <c:extLst>
              <c:ext xmlns:c16="http://schemas.microsoft.com/office/drawing/2014/chart" uri="{C3380CC4-5D6E-409C-BE32-E72D297353CC}">
                <c16:uniqueId val="{00000003-6D16-4311-ACA4-6EB97DC5EF66}"/>
              </c:ext>
            </c:extLst>
          </c:dPt>
          <c:dPt>
            <c:idx val="2"/>
            <c:bubble3D val="0"/>
            <c:spPr>
              <a:noFill/>
              <a:ln w="19050">
                <a:noFill/>
              </a:ln>
              <a:effectLst>
                <a:glow rad="12700">
                  <a:schemeClr val="accent1">
                    <a:alpha val="40000"/>
                  </a:schemeClr>
                </a:glow>
              </a:effectLst>
            </c:spPr>
            <c:extLst>
              <c:ext xmlns:c16="http://schemas.microsoft.com/office/drawing/2014/chart" uri="{C3380CC4-5D6E-409C-BE32-E72D297353CC}">
                <c16:uniqueId val="{00000005-6D16-4311-ACA4-6EB97DC5EF66}"/>
              </c:ext>
            </c:extLst>
          </c:dPt>
          <c:val>
            <c:numRef>
              <c:f>pi_t!$D$4:$F$4</c:f>
              <c:numCache>
                <c:formatCode>0.00%</c:formatCode>
                <c:ptCount val="3"/>
                <c:pt idx="0">
                  <c:v>0.20720230491161296</c:v>
                </c:pt>
                <c:pt idx="1">
                  <c:v>0.79279769508838704</c:v>
                </c:pt>
                <c:pt idx="2" formatCode="0%">
                  <c:v>1</c:v>
                </c:pt>
              </c:numCache>
            </c:numRef>
          </c:val>
          <c:extLst>
            <c:ext xmlns:c16="http://schemas.microsoft.com/office/drawing/2014/chart" uri="{C3380CC4-5D6E-409C-BE32-E72D297353CC}">
              <c16:uniqueId val="{00000006-6D16-4311-ACA4-6EB97DC5EF66}"/>
            </c:ext>
          </c:extLst>
        </c:ser>
        <c:dLbls>
          <c:showLegendKey val="0"/>
          <c:showVal val="0"/>
          <c:showCatName val="0"/>
          <c:showSerName val="0"/>
          <c:showPercent val="0"/>
          <c:showBubbleSize val="0"/>
          <c:showLeaderLines val="1"/>
        </c:dLbls>
        <c:firstSliceAng val="270"/>
        <c:holeSize val="5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sz="1400" b="1" i="0" u="none" strike="noStrike" baseline="0">
                <a:solidFill>
                  <a:schemeClr val="tx2"/>
                </a:solidFill>
                <a:effectLst/>
              </a:rPr>
              <a:t>Tablet  </a:t>
            </a:r>
            <a:endParaRPr lang="en-IN" b="1">
              <a:solidFill>
                <a:schemeClr val="tx2"/>
              </a:solidFill>
            </a:endParaRPr>
          </a:p>
        </c:rich>
      </c:tx>
      <c:layout>
        <c:manualLayout>
          <c:xMode val="edge"/>
          <c:yMode val="edge"/>
          <c:x val="0.41402679275019699"/>
          <c:y val="0.1842546063651591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IN"/>
        </a:p>
      </c:txPr>
    </c:title>
    <c:autoTitleDeleted val="0"/>
    <c:plotArea>
      <c:layout>
        <c:manualLayout>
          <c:layoutTarget val="inner"/>
          <c:xMode val="edge"/>
          <c:yMode val="edge"/>
          <c:x val="0.24190322840850567"/>
          <c:y val="0.14008933556672251"/>
          <c:w val="0.51619385342789603"/>
          <c:h val="0.73149078726968175"/>
        </c:manualLayout>
      </c:layout>
      <c:doughnutChart>
        <c:varyColors val="1"/>
        <c:ser>
          <c:idx val="0"/>
          <c:order val="0"/>
          <c:spPr>
            <a:effectLst>
              <a:glow rad="12700">
                <a:schemeClr val="accent1">
                  <a:alpha val="40000"/>
                </a:schemeClr>
              </a:glow>
            </a:effectLst>
          </c:spPr>
          <c:dPt>
            <c:idx val="0"/>
            <c:bubble3D val="0"/>
            <c:spPr>
              <a:solidFill>
                <a:schemeClr val="accent1"/>
              </a:solidFill>
              <a:ln w="19050">
                <a:noFill/>
              </a:ln>
              <a:effectLst>
                <a:glow rad="12700">
                  <a:schemeClr val="accent1">
                    <a:alpha val="40000"/>
                  </a:schemeClr>
                </a:glow>
              </a:effectLst>
            </c:spPr>
            <c:extLst>
              <c:ext xmlns:c16="http://schemas.microsoft.com/office/drawing/2014/chart" uri="{C3380CC4-5D6E-409C-BE32-E72D297353CC}">
                <c16:uniqueId val="{00000001-3436-498E-B95C-A1E81A7AD893}"/>
              </c:ext>
            </c:extLst>
          </c:dPt>
          <c:dPt>
            <c:idx val="1"/>
            <c:bubble3D val="0"/>
            <c:spPr>
              <a:solidFill>
                <a:schemeClr val="accent1">
                  <a:lumMod val="20000"/>
                  <a:lumOff val="80000"/>
                </a:schemeClr>
              </a:solidFill>
              <a:ln w="19050">
                <a:noFill/>
              </a:ln>
              <a:effectLst>
                <a:glow rad="12700">
                  <a:schemeClr val="accent1">
                    <a:alpha val="40000"/>
                  </a:schemeClr>
                </a:glow>
              </a:effectLst>
            </c:spPr>
            <c:extLst>
              <c:ext xmlns:c16="http://schemas.microsoft.com/office/drawing/2014/chart" uri="{C3380CC4-5D6E-409C-BE32-E72D297353CC}">
                <c16:uniqueId val="{00000003-3436-498E-B95C-A1E81A7AD893}"/>
              </c:ext>
            </c:extLst>
          </c:dPt>
          <c:dPt>
            <c:idx val="2"/>
            <c:bubble3D val="0"/>
            <c:spPr>
              <a:noFill/>
              <a:ln w="19050">
                <a:noFill/>
              </a:ln>
              <a:effectLst>
                <a:glow rad="12700">
                  <a:schemeClr val="accent1">
                    <a:alpha val="40000"/>
                  </a:schemeClr>
                </a:glow>
              </a:effectLst>
            </c:spPr>
            <c:extLst>
              <c:ext xmlns:c16="http://schemas.microsoft.com/office/drawing/2014/chart" uri="{C3380CC4-5D6E-409C-BE32-E72D297353CC}">
                <c16:uniqueId val="{00000005-3436-498E-B95C-A1E81A7AD893}"/>
              </c:ext>
            </c:extLst>
          </c:dPt>
          <c:val>
            <c:numRef>
              <c:f>pi_t!$D$7:$F$7</c:f>
              <c:numCache>
                <c:formatCode>0.00%</c:formatCode>
                <c:ptCount val="3"/>
                <c:pt idx="0">
                  <c:v>0.22111929968572469</c:v>
                </c:pt>
                <c:pt idx="1">
                  <c:v>0.77888070031427525</c:v>
                </c:pt>
                <c:pt idx="2" formatCode="0%">
                  <c:v>1</c:v>
                </c:pt>
              </c:numCache>
            </c:numRef>
          </c:val>
          <c:extLst>
            <c:ext xmlns:c16="http://schemas.microsoft.com/office/drawing/2014/chart" uri="{C3380CC4-5D6E-409C-BE32-E72D297353CC}">
              <c16:uniqueId val="{00000006-3436-498E-B95C-A1E81A7AD893}"/>
            </c:ext>
          </c:extLst>
        </c:ser>
        <c:dLbls>
          <c:showLegendKey val="0"/>
          <c:showVal val="0"/>
          <c:showCatName val="0"/>
          <c:showSerName val="0"/>
          <c:showPercent val="0"/>
          <c:showBubbleSize val="0"/>
          <c:showLeaderLines val="1"/>
        </c:dLbls>
        <c:firstSliceAng val="270"/>
        <c:holeSize val="5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[sales_data.xlsx]pi_t!PivotTable2</c:name>
    <c:fmtId val="6"/>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spPr>
          <a:solidFill>
            <a:schemeClr val="accent1">
              <a:shade val="58000"/>
            </a:schemeClr>
          </a:solidFill>
          <a:ln>
            <a:noFill/>
          </a:ln>
          <a:effectLst>
            <a:outerShdw blurRad="63500" sx="102000" sy="102000" algn="ctr" rotWithShape="0">
              <a:prstClr val="black">
                <a:alpha val="20000"/>
              </a:prstClr>
            </a:outerShdw>
          </a:effectLst>
        </c:spPr>
      </c:pivotFmt>
      <c:pivotFmt>
        <c:idx val="15"/>
        <c:spPr>
          <a:solidFill>
            <a:schemeClr val="accent1">
              <a:shade val="86000"/>
            </a:schemeClr>
          </a:solidFill>
          <a:ln>
            <a:noFill/>
          </a:ln>
          <a:effectLst>
            <a:outerShdw blurRad="63500" sx="102000" sy="102000" algn="ctr" rotWithShape="0">
              <a:prstClr val="black">
                <a:alpha val="20000"/>
              </a:prstClr>
            </a:outerShdw>
          </a:effectLst>
        </c:spPr>
      </c:pivotFmt>
      <c:pivotFmt>
        <c:idx val="16"/>
        <c:spPr>
          <a:solidFill>
            <a:schemeClr val="accent1">
              <a:tint val="86000"/>
            </a:schemeClr>
          </a:solidFill>
          <a:ln>
            <a:noFill/>
          </a:ln>
          <a:effectLst>
            <a:outerShdw blurRad="63500" sx="102000" sy="102000" algn="ctr" rotWithShape="0">
              <a:prstClr val="black">
                <a:alpha val="20000"/>
              </a:prstClr>
            </a:outerShdw>
          </a:effectLst>
        </c:spPr>
      </c:pivotFmt>
      <c:pivotFmt>
        <c:idx val="17"/>
        <c:spPr>
          <a:solidFill>
            <a:schemeClr val="accent1">
              <a:tint val="58000"/>
            </a:schemeClr>
          </a:solidFill>
          <a:ln>
            <a:noFill/>
          </a:ln>
          <a:effectLst>
            <a:outerShdw blurRad="63500" sx="102000" sy="102000" algn="ctr" rotWithShape="0">
              <a:prstClr val="black">
                <a:alpha val="20000"/>
              </a:prstClr>
            </a:outerShdw>
          </a:effectLst>
        </c:spPr>
        <c:dLbl>
          <c:idx val="0"/>
          <c:layout>
            <c:manualLayout>
              <c:x val="-1.9960079840319361E-2"/>
              <c:y val="3.019323671497584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pi_t!$B$19</c:f>
              <c:strCache>
                <c:ptCount val="1"/>
                <c:pt idx="0">
                  <c:v>Total</c:v>
                </c:pt>
              </c:strCache>
            </c:strRef>
          </c:tx>
          <c:dPt>
            <c:idx val="0"/>
            <c:bubble3D val="0"/>
            <c:extLst>
              <c:ext xmlns:c16="http://schemas.microsoft.com/office/drawing/2014/chart" uri="{C3380CC4-5D6E-409C-BE32-E72D297353CC}">
                <c16:uniqueId val="{00000001-9971-47BA-B021-78D3833BD5E0}"/>
              </c:ext>
            </c:extLst>
          </c:dPt>
          <c:dPt>
            <c:idx val="1"/>
            <c:bubble3D val="0"/>
            <c:spPr>
              <a:solidFill>
                <a:schemeClr val="accent1">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971-47BA-B021-78D3833BD5E0}"/>
              </c:ext>
            </c:extLst>
          </c:dPt>
          <c:dPt>
            <c:idx val="2"/>
            <c:bubble3D val="0"/>
            <c:spPr>
              <a:solidFill>
                <a:schemeClr val="accent1">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971-47BA-B021-78D3833BD5E0}"/>
              </c:ext>
            </c:extLst>
          </c:dPt>
          <c:dPt>
            <c:idx val="3"/>
            <c:bubble3D val="0"/>
            <c:spPr>
              <a:solidFill>
                <a:schemeClr val="accent1">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9971-47BA-B021-78D3833BD5E0}"/>
              </c:ext>
            </c:extLst>
          </c:dPt>
          <c:dPt>
            <c:idx val="4"/>
            <c:bubble3D val="0"/>
            <c:spPr>
              <a:solidFill>
                <a:schemeClr val="accent1">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9971-47BA-B021-78D3833BD5E0}"/>
              </c:ext>
            </c:extLst>
          </c:dPt>
          <c:dLbls>
            <c:dLbl>
              <c:idx val="4"/>
              <c:layout>
                <c:manualLayout>
                  <c:x val="-1.9960079840319361E-2"/>
                  <c:y val="3.019323671497584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971-47BA-B021-78D3833BD5E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pi_t!$A$20:$A$25</c:f>
              <c:strCache>
                <c:ptCount val="5"/>
                <c:pt idx="0">
                  <c:v>Asia</c:v>
                </c:pt>
                <c:pt idx="1">
                  <c:v>Australia</c:v>
                </c:pt>
                <c:pt idx="2">
                  <c:v>Europe</c:v>
                </c:pt>
                <c:pt idx="3">
                  <c:v>North America</c:v>
                </c:pt>
                <c:pt idx="4">
                  <c:v>South America</c:v>
                </c:pt>
              </c:strCache>
            </c:strRef>
          </c:cat>
          <c:val>
            <c:numRef>
              <c:f>pi_t!$B$20:$B$25</c:f>
              <c:numCache>
                <c:formatCode>_-[$$-409]* #,##0.00_ ;_-[$$-409]* \-#,##0.00\ ;_-[$$-409]* "-"??_ ;_-@_ </c:formatCode>
                <c:ptCount val="5"/>
                <c:pt idx="0">
                  <c:v>50268.539999999994</c:v>
                </c:pt>
                <c:pt idx="1">
                  <c:v>47404.889999999992</c:v>
                </c:pt>
                <c:pt idx="2">
                  <c:v>52348.430000000015</c:v>
                </c:pt>
                <c:pt idx="3">
                  <c:v>45726.51999999999</c:v>
                </c:pt>
                <c:pt idx="4">
                  <c:v>57984.560000000005</c:v>
                </c:pt>
              </c:numCache>
            </c:numRef>
          </c:val>
          <c:extLst>
            <c:ext xmlns:c16="http://schemas.microsoft.com/office/drawing/2014/chart" uri="{C3380CC4-5D6E-409C-BE32-E72D297353CC}">
              <c16:uniqueId val="{0000000A-9971-47BA-B021-78D3833BD5E0}"/>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[sales_data.xlsx]pi_t!PivotTable3</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pi_t!$C$36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pi_t!$B$37:$B$48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pi_t!$C$37:$C$48</c:f>
              <c:numCache>
                <c:formatCode>General</c:formatCode>
                <c:ptCount val="11"/>
                <c:pt idx="0">
                  <c:v>452</c:v>
                </c:pt>
                <c:pt idx="1">
                  <c:v>367</c:v>
                </c:pt>
                <c:pt idx="2">
                  <c:v>667</c:v>
                </c:pt>
                <c:pt idx="3">
                  <c:v>427</c:v>
                </c:pt>
                <c:pt idx="4">
                  <c:v>317</c:v>
                </c:pt>
                <c:pt idx="5">
                  <c:v>236</c:v>
                </c:pt>
                <c:pt idx="6">
                  <c:v>720</c:v>
                </c:pt>
                <c:pt idx="7">
                  <c:v>301</c:v>
                </c:pt>
                <c:pt idx="8">
                  <c:v>498</c:v>
                </c:pt>
                <c:pt idx="9">
                  <c:v>333</c:v>
                </c:pt>
                <c:pt idx="10">
                  <c:v>368</c:v>
                </c:pt>
              </c:numCache>
            </c:numRef>
          </c:val>
          <c:smooth val="0"/>
          <c:extLst>
            <c:ext xmlns:c16="http://schemas.microsoft.com/office/drawing/2014/chart" uri="{C3380CC4-5D6E-409C-BE32-E72D297353CC}">
              <c16:uniqueId val="{00000000-602A-4CF2-99E7-A1C609740AA7}"/>
            </c:ext>
          </c:extLst>
        </c:ser>
        <c:dLbls>
          <c:dLblPos val="t"/>
          <c:showLegendKey val="0"/>
          <c:showVal val="1"/>
          <c:showCatName val="0"/>
          <c:showSerName val="0"/>
          <c:showPercent val="0"/>
          <c:showBubbleSize val="0"/>
        </c:dLbls>
        <c:smooth val="0"/>
        <c:axId val="338282288"/>
        <c:axId val="338230928"/>
      </c:lineChart>
      <c:catAx>
        <c:axId val="338282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30928"/>
        <c:crosses val="autoZero"/>
        <c:auto val="1"/>
        <c:lblAlgn val="ctr"/>
        <c:lblOffset val="100"/>
        <c:noMultiLvlLbl val="0"/>
      </c:catAx>
      <c:valAx>
        <c:axId val="3382309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8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[sales_data.xlsx]pi_t!PivotTable4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42049289293383"/>
          <c:y val="7.5471698113207544E-2"/>
          <c:w val="0.84861846814602715"/>
          <c:h val="0.71582825731689204"/>
        </c:manualLayout>
      </c:layout>
      <c:barChart>
        <c:barDir val="col"/>
        <c:grouping val="clustered"/>
        <c:varyColors val="0"/>
        <c:ser>
          <c:idx val="0"/>
          <c:order val="0"/>
          <c:tx>
            <c:strRef>
              <c:f>pi_t!$C$51</c:f>
              <c:strCache>
                <c:ptCount val="1"/>
                <c:pt idx="0">
                  <c:v>Total</c:v>
                </c:pt>
              </c:strCache>
            </c:strRef>
          </c:tx>
          <c:spPr>
            <a:solidFill>
              <a:schemeClr val="accent1"/>
            </a:solidFill>
            <a:ln>
              <a:noFill/>
            </a:ln>
            <a:effectLst/>
          </c:spPr>
          <c:invertIfNegative val="0"/>
          <c:cat>
            <c:strRef>
              <c:f>pi_t!$B$52:$B$56</c:f>
              <c:strCache>
                <c:ptCount val="4"/>
                <c:pt idx="0">
                  <c:v>Jose Bradley</c:v>
                </c:pt>
                <c:pt idx="1">
                  <c:v>Nancy Lawrence</c:v>
                </c:pt>
                <c:pt idx="2">
                  <c:v>Nathan Burns</c:v>
                </c:pt>
                <c:pt idx="3">
                  <c:v>Timothy Dixon</c:v>
                </c:pt>
              </c:strCache>
            </c:strRef>
          </c:cat>
          <c:val>
            <c:numRef>
              <c:f>pi_t!$C$52:$C$56</c:f>
              <c:numCache>
                <c:formatCode>General</c:formatCode>
                <c:ptCount val="4"/>
                <c:pt idx="0">
                  <c:v>93</c:v>
                </c:pt>
                <c:pt idx="1">
                  <c:v>96</c:v>
                </c:pt>
                <c:pt idx="2">
                  <c:v>97</c:v>
                </c:pt>
                <c:pt idx="3">
                  <c:v>93</c:v>
                </c:pt>
              </c:numCache>
            </c:numRef>
          </c:val>
          <c:extLst>
            <c:ext xmlns:c16="http://schemas.microsoft.com/office/drawing/2014/chart" uri="{C3380CC4-5D6E-409C-BE32-E72D297353CC}">
              <c16:uniqueId val="{00000000-03CA-4F28-B4D7-975818188586}"/>
            </c:ext>
          </c:extLst>
        </c:ser>
        <c:dLbls>
          <c:showLegendKey val="0"/>
          <c:showVal val="0"/>
          <c:showCatName val="0"/>
          <c:showSerName val="0"/>
          <c:showPercent val="0"/>
          <c:showBubbleSize val="0"/>
        </c:dLbls>
        <c:gapWidth val="219"/>
        <c:axId val="1660164400"/>
        <c:axId val="1660166800"/>
      </c:barChart>
      <c:catAx>
        <c:axId val="166016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166800"/>
        <c:crosses val="autoZero"/>
        <c:auto val="1"/>
        <c:lblAlgn val="ctr"/>
        <c:lblOffset val="100"/>
        <c:noMultiLvlLbl val="0"/>
      </c:catAx>
      <c:valAx>
        <c:axId val="1660166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6016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[sales_data.xlsx]pi_t!PivotTable6</c:name>
    <c:fmtId val="9"/>
  </c:pivotSource>
  <c:chart>
    <c:autoTitleDeleted val="1"/>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6.9832402234636442E-3"/>
              <c:y val="-0.156319262175561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0700633440373026"/>
                  <c:h val="0.27743085933702732"/>
                </c:manualLayout>
              </c15:layout>
            </c:ext>
          </c:extLst>
        </c:dLbl>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176908752327747E-2"/>
          <c:y val="0.17090907991339793"/>
          <c:w val="0.90063233965672995"/>
          <c:h val="0.82866043613707163"/>
        </c:manualLayout>
      </c:layout>
      <c:pie3DChart>
        <c:varyColors val="1"/>
        <c:ser>
          <c:idx val="0"/>
          <c:order val="0"/>
          <c:tx>
            <c:strRef>
              <c:f>pi_t!$W$64</c:f>
              <c:strCache>
                <c:ptCount val="1"/>
                <c:pt idx="0">
                  <c:v>Total</c:v>
                </c:pt>
              </c:strCache>
            </c:strRef>
          </c:tx>
          <c:dPt>
            <c:idx val="0"/>
            <c:bubble3D val="0"/>
            <c:spPr>
              <a:solidFill>
                <a:schemeClr val="accent1">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2BE4-4BC2-9960-6D2D4A095982}"/>
              </c:ext>
            </c:extLst>
          </c:dPt>
          <c:dPt>
            <c:idx val="1"/>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2BE4-4BC2-9960-6D2D4A095982}"/>
              </c:ext>
            </c:extLst>
          </c:dPt>
          <c:dPt>
            <c:idx val="2"/>
            <c:bubble3D val="0"/>
            <c:spPr>
              <a:solidFill>
                <a:schemeClr val="accent1">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2BE4-4BC2-9960-6D2D4A095982}"/>
              </c:ext>
            </c:extLst>
          </c:dPt>
          <c:dLbls>
            <c:dLbl>
              <c:idx val="0"/>
              <c:layout>
                <c:manualLayout>
                  <c:x val="6.9832402234636442E-3"/>
                  <c:y val="-0.1563192621755614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0700633440373026"/>
                      <c:h val="0.27743085933702732"/>
                    </c:manualLayout>
                  </c15:layout>
                </c:ext>
                <c:ext xmlns:c16="http://schemas.microsoft.com/office/drawing/2014/chart" uri="{C3380CC4-5D6E-409C-BE32-E72D297353CC}">
                  <c16:uniqueId val="{00000001-2BE4-4BC2-9960-6D2D4A09598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pi_t!$V$65:$V$68</c:f>
              <c:strCache>
                <c:ptCount val="3"/>
                <c:pt idx="0">
                  <c:v>Accessories</c:v>
                </c:pt>
                <c:pt idx="1">
                  <c:v>Electronics</c:v>
                </c:pt>
                <c:pt idx="2">
                  <c:v>Peripherals</c:v>
                </c:pt>
              </c:strCache>
            </c:strRef>
          </c:cat>
          <c:val>
            <c:numRef>
              <c:f>pi_t!$W$65:$W$68</c:f>
              <c:numCache>
                <c:formatCode>General</c:formatCode>
                <c:ptCount val="3"/>
                <c:pt idx="0">
                  <c:v>1727</c:v>
                </c:pt>
                <c:pt idx="1">
                  <c:v>1581</c:v>
                </c:pt>
                <c:pt idx="2">
                  <c:v>1378</c:v>
                </c:pt>
              </c:numCache>
            </c:numRef>
          </c:val>
          <c:extLst>
            <c:ext xmlns:c16="http://schemas.microsoft.com/office/drawing/2014/chart" uri="{C3380CC4-5D6E-409C-BE32-E72D297353CC}">
              <c16:uniqueId val="{00000006-2BE4-4BC2-9960-6D2D4A095982}"/>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4.svg"/><Relationship Id="rId18" Type="http://schemas.openxmlformats.org/officeDocument/2006/relationships/image" Target="../media/image9.png"/><Relationship Id="rId3" Type="http://schemas.openxmlformats.org/officeDocument/2006/relationships/chart" Target="../charts/chart3.xml"/><Relationship Id="rId21" Type="http://schemas.openxmlformats.org/officeDocument/2006/relationships/image" Target="../media/image12.svg"/><Relationship Id="rId7" Type="http://schemas.openxmlformats.org/officeDocument/2006/relationships/image" Target="../media/image1.png"/><Relationship Id="rId12" Type="http://schemas.openxmlformats.org/officeDocument/2006/relationships/image" Target="../media/image3.png"/><Relationship Id="rId17" Type="http://schemas.openxmlformats.org/officeDocument/2006/relationships/image" Target="../media/image8.svg"/><Relationship Id="rId25" Type="http://schemas.openxmlformats.org/officeDocument/2006/relationships/image" Target="../media/image16.svg"/><Relationship Id="rId2" Type="http://schemas.openxmlformats.org/officeDocument/2006/relationships/chart" Target="../charts/chart2.xml"/><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9.xml"/><Relationship Id="rId24" Type="http://schemas.openxmlformats.org/officeDocument/2006/relationships/image" Target="../media/image15.png"/><Relationship Id="rId5" Type="http://schemas.openxmlformats.org/officeDocument/2006/relationships/chart" Target="../charts/chart5.xml"/><Relationship Id="rId15" Type="http://schemas.openxmlformats.org/officeDocument/2006/relationships/image" Target="../media/image6.svg"/><Relationship Id="rId23" Type="http://schemas.openxmlformats.org/officeDocument/2006/relationships/image" Target="../media/image14.svg"/><Relationship Id="rId10" Type="http://schemas.openxmlformats.org/officeDocument/2006/relationships/chart" Target="../charts/chart8.xml"/><Relationship Id="rId19" Type="http://schemas.openxmlformats.org/officeDocument/2006/relationships/image" Target="../media/image10.svg"/><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image" Target="../media/image5.png"/><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120795</xdr:colOff>
      <xdr:row>28</xdr:row>
      <xdr:rowOff>175260</xdr:rowOff>
    </xdr:to>
    <xdr:sp macro="" textlink="">
      <xdr:nvSpPr>
        <xdr:cNvPr id="5" name="Rectangle: Rounded Corners 4">
          <a:extLst>
            <a:ext uri="{FF2B5EF4-FFF2-40B4-BE49-F238E27FC236}">
              <a16:creationId xmlns:a16="http://schemas.microsoft.com/office/drawing/2014/main" id="{B0CAC6C0-DC82-C7E1-9D7D-7705A32D7EB4}"/>
            </a:ext>
          </a:extLst>
        </xdr:cNvPr>
        <xdr:cNvSpPr/>
      </xdr:nvSpPr>
      <xdr:spPr>
        <a:xfrm>
          <a:off x="0" y="0"/>
          <a:ext cx="14141595" cy="5295900"/>
        </a:xfrm>
        <a:prstGeom prst="roundRect">
          <a:avLst>
            <a:gd name="adj" fmla="val 111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0</xdr:row>
      <xdr:rowOff>38100</xdr:rowOff>
    </xdr:from>
    <xdr:to>
      <xdr:col>23</xdr:col>
      <xdr:colOff>114300</xdr:colOff>
      <xdr:row>29</xdr:row>
      <xdr:rowOff>7620</xdr:rowOff>
    </xdr:to>
    <xdr:sp macro="" textlink="">
      <xdr:nvSpPr>
        <xdr:cNvPr id="2" name="Rectangle: Rounded Corners 1">
          <a:extLst>
            <a:ext uri="{FF2B5EF4-FFF2-40B4-BE49-F238E27FC236}">
              <a16:creationId xmlns:a16="http://schemas.microsoft.com/office/drawing/2014/main" id="{7E387614-814D-34AD-EE7F-C04E57E0211C}"/>
            </a:ext>
          </a:extLst>
        </xdr:cNvPr>
        <xdr:cNvSpPr/>
      </xdr:nvSpPr>
      <xdr:spPr>
        <a:xfrm>
          <a:off x="60960" y="38100"/>
          <a:ext cx="14074140" cy="5273040"/>
        </a:xfrm>
        <a:prstGeom prst="roundRect">
          <a:avLst>
            <a:gd name="adj" fmla="val 97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5</xdr:row>
      <xdr:rowOff>38100</xdr:rowOff>
    </xdr:from>
    <xdr:to>
      <xdr:col>3</xdr:col>
      <xdr:colOff>381000</xdr:colOff>
      <xdr:row>28</xdr:row>
      <xdr:rowOff>129540</xdr:rowOff>
    </xdr:to>
    <xdr:sp macro="" textlink="">
      <xdr:nvSpPr>
        <xdr:cNvPr id="8" name="Rectangle: Rounded Corners 7">
          <a:extLst>
            <a:ext uri="{FF2B5EF4-FFF2-40B4-BE49-F238E27FC236}">
              <a16:creationId xmlns:a16="http://schemas.microsoft.com/office/drawing/2014/main" id="{E337F47C-4A25-D662-EA7B-E376349DC3DC}"/>
            </a:ext>
          </a:extLst>
        </xdr:cNvPr>
        <xdr:cNvSpPr/>
      </xdr:nvSpPr>
      <xdr:spPr>
        <a:xfrm>
          <a:off x="106680" y="952500"/>
          <a:ext cx="2103120" cy="4297680"/>
        </a:xfrm>
        <a:prstGeom prst="roundRect">
          <a:avLst>
            <a:gd name="adj" fmla="val 214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525780</xdr:colOff>
      <xdr:row>11</xdr:row>
      <xdr:rowOff>30480</xdr:rowOff>
    </xdr:from>
    <xdr:to>
      <xdr:col>23</xdr:col>
      <xdr:colOff>45720</xdr:colOff>
      <xdr:row>28</xdr:row>
      <xdr:rowOff>144780</xdr:rowOff>
    </xdr:to>
    <xdr:sp macro="" textlink="">
      <xdr:nvSpPr>
        <xdr:cNvPr id="9" name="Rectangle: Rounded Corners 8">
          <a:extLst>
            <a:ext uri="{FF2B5EF4-FFF2-40B4-BE49-F238E27FC236}">
              <a16:creationId xmlns:a16="http://schemas.microsoft.com/office/drawing/2014/main" id="{5C93B9B8-81F1-108A-8703-7647A27A9465}"/>
            </a:ext>
          </a:extLst>
        </xdr:cNvPr>
        <xdr:cNvSpPr/>
      </xdr:nvSpPr>
      <xdr:spPr>
        <a:xfrm>
          <a:off x="7840980" y="2042160"/>
          <a:ext cx="6225540" cy="3223260"/>
        </a:xfrm>
        <a:prstGeom prst="roundRect">
          <a:avLst>
            <a:gd name="adj" fmla="val 308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144780</xdr:colOff>
      <xdr:row>4</xdr:row>
      <xdr:rowOff>87630</xdr:rowOff>
    </xdr:from>
    <xdr:to>
      <xdr:col>15</xdr:col>
      <xdr:colOff>320040</xdr:colOff>
      <xdr:row>16</xdr:row>
      <xdr:rowOff>167640</xdr:rowOff>
    </xdr:to>
    <xdr:graphicFrame macro="">
      <xdr:nvGraphicFramePr>
        <xdr:cNvPr id="11" name="Chart 10">
          <a:extLst>
            <a:ext uri="{FF2B5EF4-FFF2-40B4-BE49-F238E27FC236}">
              <a16:creationId xmlns:a16="http://schemas.microsoft.com/office/drawing/2014/main" id="{296741D3-5FC6-42BF-8613-890C95793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251460</xdr:colOff>
      <xdr:row>4</xdr:row>
      <xdr:rowOff>76200</xdr:rowOff>
    </xdr:from>
    <xdr:to>
      <xdr:col>12</xdr:col>
      <xdr:colOff>426720</xdr:colOff>
      <xdr:row>16</xdr:row>
      <xdr:rowOff>156210</xdr:rowOff>
    </xdr:to>
    <xdr:graphicFrame macro="">
      <xdr:nvGraphicFramePr>
        <xdr:cNvPr id="12" name="Chart 11">
          <a:extLst>
            <a:ext uri="{FF2B5EF4-FFF2-40B4-BE49-F238E27FC236}">
              <a16:creationId xmlns:a16="http://schemas.microsoft.com/office/drawing/2014/main" id="{FB40F721-6C26-4590-8BA7-DC3C7858E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83820</xdr:colOff>
      <xdr:row>4</xdr:row>
      <xdr:rowOff>76200</xdr:rowOff>
    </xdr:from>
    <xdr:to>
      <xdr:col>18</xdr:col>
      <xdr:colOff>259080</xdr:colOff>
      <xdr:row>16</xdr:row>
      <xdr:rowOff>156210</xdr:rowOff>
    </xdr:to>
    <xdr:graphicFrame macro="">
      <xdr:nvGraphicFramePr>
        <xdr:cNvPr id="13" name="Chart 12">
          <a:extLst>
            <a:ext uri="{FF2B5EF4-FFF2-40B4-BE49-F238E27FC236}">
              <a16:creationId xmlns:a16="http://schemas.microsoft.com/office/drawing/2014/main" id="{8334AB57-7BBA-41E4-A6F9-CC27A21DF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45720</xdr:colOff>
      <xdr:row>4</xdr:row>
      <xdr:rowOff>0</xdr:rowOff>
    </xdr:from>
    <xdr:to>
      <xdr:col>21</xdr:col>
      <xdr:colOff>220980</xdr:colOff>
      <xdr:row>16</xdr:row>
      <xdr:rowOff>80010</xdr:rowOff>
    </xdr:to>
    <xdr:graphicFrame macro="">
      <xdr:nvGraphicFramePr>
        <xdr:cNvPr id="14" name="Chart 13">
          <a:extLst>
            <a:ext uri="{FF2B5EF4-FFF2-40B4-BE49-F238E27FC236}">
              <a16:creationId xmlns:a16="http://schemas.microsoft.com/office/drawing/2014/main" id="{B0E2474A-BB9D-45A9-A80B-1C0788174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15240</xdr:colOff>
      <xdr:row>4</xdr:row>
      <xdr:rowOff>38100</xdr:rowOff>
    </xdr:from>
    <xdr:to>
      <xdr:col>24</xdr:col>
      <xdr:colOff>190500</xdr:colOff>
      <xdr:row>16</xdr:row>
      <xdr:rowOff>118110</xdr:rowOff>
    </xdr:to>
    <xdr:graphicFrame macro="">
      <xdr:nvGraphicFramePr>
        <xdr:cNvPr id="15" name="Chart 14">
          <a:extLst>
            <a:ext uri="{FF2B5EF4-FFF2-40B4-BE49-F238E27FC236}">
              <a16:creationId xmlns:a16="http://schemas.microsoft.com/office/drawing/2014/main" id="{ACDDF9D0-E9A0-436E-AB1E-96178AA00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434340</xdr:colOff>
      <xdr:row>5</xdr:row>
      <xdr:rowOff>45720</xdr:rowOff>
    </xdr:from>
    <xdr:to>
      <xdr:col>8</xdr:col>
      <xdr:colOff>358140</xdr:colOff>
      <xdr:row>28</xdr:row>
      <xdr:rowOff>137160</xdr:rowOff>
    </xdr:to>
    <xdr:sp macro="" textlink="">
      <xdr:nvSpPr>
        <xdr:cNvPr id="35" name="Rectangle: Rounded Corners 34">
          <a:extLst>
            <a:ext uri="{FF2B5EF4-FFF2-40B4-BE49-F238E27FC236}">
              <a16:creationId xmlns:a16="http://schemas.microsoft.com/office/drawing/2014/main" id="{63533F29-071D-BC33-A7DD-84556AD234F2}"/>
            </a:ext>
          </a:extLst>
        </xdr:cNvPr>
        <xdr:cNvSpPr/>
      </xdr:nvSpPr>
      <xdr:spPr>
        <a:xfrm>
          <a:off x="2263140" y="960120"/>
          <a:ext cx="2971800" cy="4297680"/>
        </a:xfrm>
        <a:prstGeom prst="roundRect">
          <a:avLst>
            <a:gd name="adj" fmla="val 2122"/>
          </a:avLst>
        </a:prstGeom>
        <a:ln>
          <a:solidFill>
            <a:schemeClr val="tx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129540</xdr:colOff>
      <xdr:row>5</xdr:row>
      <xdr:rowOff>91440</xdr:rowOff>
    </xdr:from>
    <xdr:to>
      <xdr:col>3</xdr:col>
      <xdr:colOff>358140</xdr:colOff>
      <xdr:row>12</xdr:row>
      <xdr:rowOff>7620</xdr:rowOff>
    </xdr:to>
    <mc:AlternateContent xmlns:mc="http://schemas.openxmlformats.org/markup-compatibility/2006" xmlns:tsle="http://schemas.microsoft.com/office/drawing/2012/timeslicer">
      <mc:Choice Requires="tsle">
        <xdr:graphicFrame macro="">
          <xdr:nvGraphicFramePr>
            <xdr:cNvPr id="36" name="Date of Sale 1">
              <a:extLst>
                <a:ext uri="{FF2B5EF4-FFF2-40B4-BE49-F238E27FC236}">
                  <a16:creationId xmlns:a16="http://schemas.microsoft.com/office/drawing/2014/main" id="{BB2DF681-38CC-478E-A0DE-30D0093ED3D5}"/>
                </a:ext>
              </a:extLst>
            </xdr:cNvPr>
            <xdr:cNvGraphicFramePr/>
          </xdr:nvGraphicFramePr>
          <xdr:xfrm>
            <a:off x="0" y="0"/>
            <a:ext cx="0" cy="0"/>
          </xdr:xfrm>
          <a:graphic>
            <a:graphicData uri="http://schemas.microsoft.com/office/drawing/2012/timeslicer">
              <tsle:timeslicer name="Date of Sale 1"/>
            </a:graphicData>
          </a:graphic>
        </xdr:graphicFrame>
      </mc:Choice>
      <mc:Fallback xmlns="">
        <xdr:sp macro="" textlink="">
          <xdr:nvSpPr>
            <xdr:cNvPr id="0" name=""/>
            <xdr:cNvSpPr>
              <a:spLocks noTextEdit="1"/>
            </xdr:cNvSpPr>
          </xdr:nvSpPr>
          <xdr:spPr>
            <a:xfrm>
              <a:off x="129540" y="1021080"/>
              <a:ext cx="2057400" cy="1181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411480</xdr:colOff>
      <xdr:row>14</xdr:row>
      <xdr:rowOff>144780</xdr:rowOff>
    </xdr:from>
    <xdr:to>
      <xdr:col>12</xdr:col>
      <xdr:colOff>480060</xdr:colOff>
      <xdr:row>28</xdr:row>
      <xdr:rowOff>144780</xdr:rowOff>
    </xdr:to>
    <xdr:sp macro="" textlink="">
      <xdr:nvSpPr>
        <xdr:cNvPr id="37" name="Rectangle: Rounded Corners 36">
          <a:extLst>
            <a:ext uri="{FF2B5EF4-FFF2-40B4-BE49-F238E27FC236}">
              <a16:creationId xmlns:a16="http://schemas.microsoft.com/office/drawing/2014/main" id="{DB4086BF-94C3-4F7E-BF21-41AC411F2DB8}"/>
            </a:ext>
          </a:extLst>
        </xdr:cNvPr>
        <xdr:cNvSpPr/>
      </xdr:nvSpPr>
      <xdr:spPr>
        <a:xfrm>
          <a:off x="5288280" y="2705100"/>
          <a:ext cx="2506980" cy="2560320"/>
        </a:xfrm>
        <a:prstGeom prst="roundRect">
          <a:avLst>
            <a:gd name="adj" fmla="val 359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i="0" cap="all" baseline="0">
              <a:solidFill>
                <a:schemeClr val="tx2"/>
              </a:solidFill>
              <a:effectLst/>
              <a:latin typeface="+mn-lt"/>
              <a:ea typeface="+mn-ea"/>
              <a:cs typeface="+mn-cs"/>
            </a:rPr>
            <a:t>REGION WISE Total REVENUE</a:t>
          </a:r>
          <a:endParaRPr lang="en-IN" sz="1200">
            <a:solidFill>
              <a:schemeClr val="tx2"/>
            </a:solidFill>
            <a:effectLst/>
          </a:endParaRPr>
        </a:p>
        <a:p>
          <a:pPr algn="l"/>
          <a:endParaRPr lang="en-IN" sz="1100"/>
        </a:p>
      </xdr:txBody>
    </xdr:sp>
    <xdr:clientData/>
  </xdr:twoCellAnchor>
  <xdr:twoCellAnchor>
    <xdr:from>
      <xdr:col>8</xdr:col>
      <xdr:colOff>365760</xdr:colOff>
      <xdr:row>16</xdr:row>
      <xdr:rowOff>175260</xdr:rowOff>
    </xdr:from>
    <xdr:to>
      <xdr:col>12</xdr:col>
      <xdr:colOff>472440</xdr:colOff>
      <xdr:row>28</xdr:row>
      <xdr:rowOff>83820</xdr:rowOff>
    </xdr:to>
    <xdr:graphicFrame macro="">
      <xdr:nvGraphicFramePr>
        <xdr:cNvPr id="39" name="Chart 38">
          <a:extLst>
            <a:ext uri="{FF2B5EF4-FFF2-40B4-BE49-F238E27FC236}">
              <a16:creationId xmlns:a16="http://schemas.microsoft.com/office/drawing/2014/main" id="{290170DF-302B-4F28-A189-B74B7C445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396240</xdr:colOff>
      <xdr:row>11</xdr:row>
      <xdr:rowOff>30480</xdr:rowOff>
    </xdr:from>
    <xdr:to>
      <xdr:col>12</xdr:col>
      <xdr:colOff>472440</xdr:colOff>
      <xdr:row>14</xdr:row>
      <xdr:rowOff>106680</xdr:rowOff>
    </xdr:to>
    <xdr:sp macro="" textlink="">
      <xdr:nvSpPr>
        <xdr:cNvPr id="40" name="Rectangle: Rounded Corners 39">
          <a:extLst>
            <a:ext uri="{FF2B5EF4-FFF2-40B4-BE49-F238E27FC236}">
              <a16:creationId xmlns:a16="http://schemas.microsoft.com/office/drawing/2014/main" id="{460B7524-4806-BA47-A0D6-17F157A436AA}"/>
            </a:ext>
          </a:extLst>
        </xdr:cNvPr>
        <xdr:cNvSpPr/>
      </xdr:nvSpPr>
      <xdr:spPr>
        <a:xfrm>
          <a:off x="5273040" y="2042160"/>
          <a:ext cx="2514600" cy="6248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TOTAL</a:t>
          </a:r>
          <a:r>
            <a:rPr lang="en-US" sz="1600" b="1" baseline="0"/>
            <a:t> REVENUE</a:t>
          </a:r>
          <a:endParaRPr lang="en-US" sz="1600" b="1"/>
        </a:p>
      </xdr:txBody>
    </xdr:sp>
    <xdr:clientData/>
  </xdr:twoCellAnchor>
  <xdr:twoCellAnchor>
    <xdr:from>
      <xdr:col>8</xdr:col>
      <xdr:colOff>464820</xdr:colOff>
      <xdr:row>12</xdr:row>
      <xdr:rowOff>99060</xdr:rowOff>
    </xdr:from>
    <xdr:to>
      <xdr:col>10</xdr:col>
      <xdr:colOff>548640</xdr:colOff>
      <xdr:row>15</xdr:row>
      <xdr:rowOff>15240</xdr:rowOff>
    </xdr:to>
    <xdr:sp macro="" textlink="">
      <xdr:nvSpPr>
        <xdr:cNvPr id="42" name="TextBox 41">
          <a:extLst>
            <a:ext uri="{FF2B5EF4-FFF2-40B4-BE49-F238E27FC236}">
              <a16:creationId xmlns:a16="http://schemas.microsoft.com/office/drawing/2014/main" id="{65CB5366-6C86-0D58-B4EB-615355A60E1C}"/>
            </a:ext>
          </a:extLst>
        </xdr:cNvPr>
        <xdr:cNvSpPr txBox="1"/>
      </xdr:nvSpPr>
      <xdr:spPr>
        <a:xfrm>
          <a:off x="5341620" y="2293620"/>
          <a:ext cx="130302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cap="none" spc="0">
            <a:ln w="10160">
              <a:solidFill>
                <a:schemeClr val="accent5"/>
              </a:solidFill>
              <a:prstDash val="solid"/>
            </a:ln>
            <a:effectLst>
              <a:outerShdw blurRad="38100" dist="22860" dir="5400000" algn="tl" rotWithShape="0">
                <a:srgbClr val="000000">
                  <a:alpha val="30000"/>
                </a:srgbClr>
              </a:outerShdw>
            </a:effectLst>
          </a:endParaRPr>
        </a:p>
      </xdr:txBody>
    </xdr:sp>
    <xdr:clientData/>
  </xdr:twoCellAnchor>
  <xdr:twoCellAnchor editAs="oneCell">
    <xdr:from>
      <xdr:col>11</xdr:col>
      <xdr:colOff>419100</xdr:colOff>
      <xdr:row>11</xdr:row>
      <xdr:rowOff>114300</xdr:rowOff>
    </xdr:from>
    <xdr:to>
      <xdr:col>12</xdr:col>
      <xdr:colOff>403860</xdr:colOff>
      <xdr:row>14</xdr:row>
      <xdr:rowOff>30480</xdr:rowOff>
    </xdr:to>
    <xdr:pic>
      <xdr:nvPicPr>
        <xdr:cNvPr id="44" name="Graphic 43" descr="Dollar">
          <a:extLst>
            <a:ext uri="{FF2B5EF4-FFF2-40B4-BE49-F238E27FC236}">
              <a16:creationId xmlns:a16="http://schemas.microsoft.com/office/drawing/2014/main" id="{1536A500-C72F-12B6-8393-73D2A6B5C4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124700" y="2125980"/>
          <a:ext cx="594360" cy="464820"/>
        </a:xfrm>
        <a:prstGeom prst="rect">
          <a:avLst/>
        </a:prstGeom>
      </xdr:spPr>
    </xdr:pic>
    <xdr:clientData/>
  </xdr:twoCellAnchor>
  <xdr:twoCellAnchor>
    <xdr:from>
      <xdr:col>8</xdr:col>
      <xdr:colOff>472440</xdr:colOff>
      <xdr:row>12</xdr:row>
      <xdr:rowOff>76200</xdr:rowOff>
    </xdr:from>
    <xdr:to>
      <xdr:col>11</xdr:col>
      <xdr:colOff>411480</xdr:colOff>
      <xdr:row>14</xdr:row>
      <xdr:rowOff>22860</xdr:rowOff>
    </xdr:to>
    <xdr:sp macro="" textlink="pi_t!$C$25">
      <xdr:nvSpPr>
        <xdr:cNvPr id="45" name="Rectangle: Rounded Corners 44">
          <a:extLst>
            <a:ext uri="{FF2B5EF4-FFF2-40B4-BE49-F238E27FC236}">
              <a16:creationId xmlns:a16="http://schemas.microsoft.com/office/drawing/2014/main" id="{EEF84150-52D4-62EC-5757-AF99BAA9E44D}"/>
            </a:ext>
          </a:extLst>
        </xdr:cNvPr>
        <xdr:cNvSpPr/>
      </xdr:nvSpPr>
      <xdr:spPr>
        <a:xfrm>
          <a:off x="5349240" y="2270760"/>
          <a:ext cx="1767840" cy="3124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DEBD04E-1E8D-4A7E-AE97-8D112C714EA7}" type="TxLink">
            <a:rPr lang="en-US" sz="1800" b="0" i="0" u="none" strike="noStrike">
              <a:solidFill>
                <a:schemeClr val="bg2"/>
              </a:solidFill>
              <a:latin typeface="Calibri"/>
              <a:ea typeface="Calibri"/>
              <a:cs typeface="Calibri"/>
            </a:rPr>
            <a:pPr algn="l"/>
            <a:t>253732.94</a:t>
          </a:fld>
          <a:endParaRPr lang="en-IN" sz="1800">
            <a:solidFill>
              <a:schemeClr val="bg2"/>
            </a:solidFill>
          </a:endParaRPr>
        </a:p>
      </xdr:txBody>
    </xdr:sp>
    <xdr:clientData/>
  </xdr:twoCellAnchor>
  <xdr:twoCellAnchor>
    <xdr:from>
      <xdr:col>13</xdr:col>
      <xdr:colOff>53340</xdr:colOff>
      <xdr:row>14</xdr:row>
      <xdr:rowOff>0</xdr:rowOff>
    </xdr:from>
    <xdr:to>
      <xdr:col>22</xdr:col>
      <xdr:colOff>510540</xdr:colOff>
      <xdr:row>28</xdr:row>
      <xdr:rowOff>22860</xdr:rowOff>
    </xdr:to>
    <xdr:graphicFrame macro="">
      <xdr:nvGraphicFramePr>
        <xdr:cNvPr id="48" name="Chart 47">
          <a:extLst>
            <a:ext uri="{FF2B5EF4-FFF2-40B4-BE49-F238E27FC236}">
              <a16:creationId xmlns:a16="http://schemas.microsoft.com/office/drawing/2014/main" id="{82482A0A-429C-439B-8F62-6EA0557E7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586740</xdr:colOff>
      <xdr:row>11</xdr:row>
      <xdr:rowOff>76200</xdr:rowOff>
    </xdr:from>
    <xdr:to>
      <xdr:col>17</xdr:col>
      <xdr:colOff>198120</xdr:colOff>
      <xdr:row>13</xdr:row>
      <xdr:rowOff>0</xdr:rowOff>
    </xdr:to>
    <xdr:sp macro="" textlink="">
      <xdr:nvSpPr>
        <xdr:cNvPr id="49" name="TextBox 48">
          <a:extLst>
            <a:ext uri="{FF2B5EF4-FFF2-40B4-BE49-F238E27FC236}">
              <a16:creationId xmlns:a16="http://schemas.microsoft.com/office/drawing/2014/main" id="{AE97B930-26D5-5911-8AC8-F5FD66D590DD}"/>
            </a:ext>
          </a:extLst>
        </xdr:cNvPr>
        <xdr:cNvSpPr txBox="1"/>
      </xdr:nvSpPr>
      <xdr:spPr>
        <a:xfrm>
          <a:off x="7901940" y="2087880"/>
          <a:ext cx="26593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2"/>
              </a:solidFill>
            </a:rPr>
            <a:t>TOTAL</a:t>
          </a:r>
          <a:r>
            <a:rPr lang="en-IN" sz="2000" b="1" baseline="0">
              <a:solidFill>
                <a:schemeClr val="tx2"/>
              </a:solidFill>
            </a:rPr>
            <a:t> QUANTITY SOLD</a:t>
          </a:r>
          <a:endParaRPr lang="en-IN" sz="2000" b="1">
            <a:solidFill>
              <a:schemeClr val="tx2"/>
            </a:solidFill>
          </a:endParaRPr>
        </a:p>
      </xdr:txBody>
    </xdr:sp>
    <xdr:clientData/>
  </xdr:twoCellAnchor>
  <xdr:twoCellAnchor>
    <xdr:from>
      <xdr:col>3</xdr:col>
      <xdr:colOff>487680</xdr:colOff>
      <xdr:row>17</xdr:row>
      <xdr:rowOff>91440</xdr:rowOff>
    </xdr:from>
    <xdr:to>
      <xdr:col>8</xdr:col>
      <xdr:colOff>373380</xdr:colOff>
      <xdr:row>28</xdr:row>
      <xdr:rowOff>99060</xdr:rowOff>
    </xdr:to>
    <xdr:graphicFrame macro="">
      <xdr:nvGraphicFramePr>
        <xdr:cNvPr id="50" name="Chart 49">
          <a:extLst>
            <a:ext uri="{FF2B5EF4-FFF2-40B4-BE49-F238E27FC236}">
              <a16:creationId xmlns:a16="http://schemas.microsoft.com/office/drawing/2014/main" id="{C178AC9E-223C-4BB4-864E-83B1C7F93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472440</xdr:colOff>
      <xdr:row>14</xdr:row>
      <xdr:rowOff>106680</xdr:rowOff>
    </xdr:from>
    <xdr:to>
      <xdr:col>8</xdr:col>
      <xdr:colOff>304800</xdr:colOff>
      <xdr:row>28</xdr:row>
      <xdr:rowOff>91440</xdr:rowOff>
    </xdr:to>
    <xdr:sp macro="" textlink="">
      <xdr:nvSpPr>
        <xdr:cNvPr id="51" name="Rectangle: Rounded Corners 50">
          <a:extLst>
            <a:ext uri="{FF2B5EF4-FFF2-40B4-BE49-F238E27FC236}">
              <a16:creationId xmlns:a16="http://schemas.microsoft.com/office/drawing/2014/main" id="{3C9D1BE5-95F5-8215-53FD-E2B07096F385}"/>
            </a:ext>
          </a:extLst>
        </xdr:cNvPr>
        <xdr:cNvSpPr/>
      </xdr:nvSpPr>
      <xdr:spPr>
        <a:xfrm>
          <a:off x="2301240" y="2667000"/>
          <a:ext cx="2880360" cy="2545080"/>
        </a:xfrm>
        <a:prstGeom prst="roundRect">
          <a:avLst>
            <a:gd name="adj" fmla="val 4691"/>
          </a:avLst>
        </a:prstGeom>
        <a:no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200" b="1">
            <a:solidFill>
              <a:schemeClr val="tx2"/>
            </a:solidFill>
          </a:endParaRPr>
        </a:p>
      </xdr:txBody>
    </xdr:sp>
    <xdr:clientData/>
  </xdr:twoCellAnchor>
  <xdr:twoCellAnchor>
    <xdr:from>
      <xdr:col>3</xdr:col>
      <xdr:colOff>480060</xdr:colOff>
      <xdr:row>14</xdr:row>
      <xdr:rowOff>144780</xdr:rowOff>
    </xdr:from>
    <xdr:to>
      <xdr:col>6</xdr:col>
      <xdr:colOff>464820</xdr:colOff>
      <xdr:row>16</xdr:row>
      <xdr:rowOff>76200</xdr:rowOff>
    </xdr:to>
    <xdr:sp macro="" textlink="">
      <xdr:nvSpPr>
        <xdr:cNvPr id="52" name="TextBox 51">
          <a:extLst>
            <a:ext uri="{FF2B5EF4-FFF2-40B4-BE49-F238E27FC236}">
              <a16:creationId xmlns:a16="http://schemas.microsoft.com/office/drawing/2014/main" id="{310ECD05-1F45-A370-06D5-382E17E72906}"/>
            </a:ext>
          </a:extLst>
        </xdr:cNvPr>
        <xdr:cNvSpPr txBox="1"/>
      </xdr:nvSpPr>
      <xdr:spPr>
        <a:xfrm>
          <a:off x="2308860" y="2705100"/>
          <a:ext cx="18135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solidFill>
            </a:rPr>
            <a:t>TOP</a:t>
          </a:r>
          <a:r>
            <a:rPr lang="en-IN" sz="1400" b="1" baseline="0">
              <a:solidFill>
                <a:schemeClr val="tx2"/>
              </a:solidFill>
            </a:rPr>
            <a:t> 3 SALESPERSONS</a:t>
          </a:r>
          <a:endParaRPr lang="en-IN" sz="1200" b="1">
            <a:solidFill>
              <a:schemeClr val="tx2"/>
            </a:solidFill>
          </a:endParaRPr>
        </a:p>
      </xdr:txBody>
    </xdr:sp>
    <xdr:clientData/>
  </xdr:twoCellAnchor>
  <xdr:twoCellAnchor>
    <xdr:from>
      <xdr:col>0</xdr:col>
      <xdr:colOff>91440</xdr:colOff>
      <xdr:row>0</xdr:row>
      <xdr:rowOff>45720</xdr:rowOff>
    </xdr:from>
    <xdr:to>
      <xdr:col>6</xdr:col>
      <xdr:colOff>419100</xdr:colOff>
      <xdr:row>5</xdr:row>
      <xdr:rowOff>0</xdr:rowOff>
    </xdr:to>
    <xdr:sp macro="" textlink="">
      <xdr:nvSpPr>
        <xdr:cNvPr id="53" name="Rectangle: Rounded Corners 52">
          <a:extLst>
            <a:ext uri="{FF2B5EF4-FFF2-40B4-BE49-F238E27FC236}">
              <a16:creationId xmlns:a16="http://schemas.microsoft.com/office/drawing/2014/main" id="{25FD3F32-A791-B504-986D-70597BBEC922}"/>
            </a:ext>
          </a:extLst>
        </xdr:cNvPr>
        <xdr:cNvSpPr/>
      </xdr:nvSpPr>
      <xdr:spPr>
        <a:xfrm>
          <a:off x="91440" y="45720"/>
          <a:ext cx="3985260" cy="868680"/>
        </a:xfrm>
        <a:prstGeom prst="roundRect">
          <a:avLst>
            <a:gd name="adj" fmla="val 87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495300</xdr:colOff>
      <xdr:row>5</xdr:row>
      <xdr:rowOff>91440</xdr:rowOff>
    </xdr:from>
    <xdr:to>
      <xdr:col>8</xdr:col>
      <xdr:colOff>312420</xdr:colOff>
      <xdr:row>14</xdr:row>
      <xdr:rowOff>60960</xdr:rowOff>
    </xdr:to>
    <xdr:sp macro="" textlink="">
      <xdr:nvSpPr>
        <xdr:cNvPr id="55" name="Rectangle: Rounded Corners 54">
          <a:extLst>
            <a:ext uri="{FF2B5EF4-FFF2-40B4-BE49-F238E27FC236}">
              <a16:creationId xmlns:a16="http://schemas.microsoft.com/office/drawing/2014/main" id="{96D67E82-FD5F-A276-1681-7BDFE42D8C5A}"/>
            </a:ext>
          </a:extLst>
        </xdr:cNvPr>
        <xdr:cNvSpPr/>
      </xdr:nvSpPr>
      <xdr:spPr>
        <a:xfrm>
          <a:off x="2324100" y="1005840"/>
          <a:ext cx="2865120" cy="1615440"/>
        </a:xfrm>
        <a:prstGeom prst="roundRect">
          <a:avLst>
            <a:gd name="adj" fmla="val 23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495300</xdr:colOff>
      <xdr:row>5</xdr:row>
      <xdr:rowOff>91440</xdr:rowOff>
    </xdr:from>
    <xdr:to>
      <xdr:col>8</xdr:col>
      <xdr:colOff>175260</xdr:colOff>
      <xdr:row>14</xdr:row>
      <xdr:rowOff>91440</xdr:rowOff>
    </xdr:to>
    <xdr:graphicFrame macro="">
      <xdr:nvGraphicFramePr>
        <xdr:cNvPr id="56" name="Chart 55">
          <a:extLst>
            <a:ext uri="{FF2B5EF4-FFF2-40B4-BE49-F238E27FC236}">
              <a16:creationId xmlns:a16="http://schemas.microsoft.com/office/drawing/2014/main" id="{EA385C5E-C275-4B6B-A2DB-E857A936F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457200</xdr:colOff>
      <xdr:row>5</xdr:row>
      <xdr:rowOff>68580</xdr:rowOff>
    </xdr:from>
    <xdr:to>
      <xdr:col>7</xdr:col>
      <xdr:colOff>266700</xdr:colOff>
      <xdr:row>7</xdr:row>
      <xdr:rowOff>0</xdr:rowOff>
    </xdr:to>
    <xdr:sp macro="" textlink="">
      <xdr:nvSpPr>
        <xdr:cNvPr id="57" name="TextBox 56">
          <a:extLst>
            <a:ext uri="{FF2B5EF4-FFF2-40B4-BE49-F238E27FC236}">
              <a16:creationId xmlns:a16="http://schemas.microsoft.com/office/drawing/2014/main" id="{3769229F-743A-B5DA-AB46-A28AE5FD64BD}"/>
            </a:ext>
          </a:extLst>
        </xdr:cNvPr>
        <xdr:cNvSpPr txBox="1"/>
      </xdr:nvSpPr>
      <xdr:spPr>
        <a:xfrm>
          <a:off x="2286000" y="982980"/>
          <a:ext cx="22479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20000"/>
                  <a:lumOff val="80000"/>
                </a:schemeClr>
              </a:solidFill>
            </a:rPr>
            <a:t>CATEGORY</a:t>
          </a:r>
          <a:r>
            <a:rPr lang="en-IN" sz="1600" b="1" baseline="0">
              <a:solidFill>
                <a:schemeClr val="accent1">
                  <a:lumMod val="20000"/>
                  <a:lumOff val="80000"/>
                </a:schemeClr>
              </a:solidFill>
            </a:rPr>
            <a:t> WISE SELL</a:t>
          </a:r>
          <a:endParaRPr lang="en-IN" sz="1600" b="1">
            <a:solidFill>
              <a:schemeClr val="accent1">
                <a:lumMod val="20000"/>
                <a:lumOff val="80000"/>
              </a:schemeClr>
            </a:solidFill>
          </a:endParaRPr>
        </a:p>
      </xdr:txBody>
    </xdr:sp>
    <xdr:clientData/>
  </xdr:twoCellAnchor>
  <xdr:twoCellAnchor editAs="oneCell">
    <xdr:from>
      <xdr:col>0</xdr:col>
      <xdr:colOff>182880</xdr:colOff>
      <xdr:row>0</xdr:row>
      <xdr:rowOff>45720</xdr:rowOff>
    </xdr:from>
    <xdr:to>
      <xdr:col>1</xdr:col>
      <xdr:colOff>487680</xdr:colOff>
      <xdr:row>5</xdr:row>
      <xdr:rowOff>45720</xdr:rowOff>
    </xdr:to>
    <xdr:pic>
      <xdr:nvPicPr>
        <xdr:cNvPr id="59" name="Graphic 58" descr="Presentation with pie chart">
          <a:extLst>
            <a:ext uri="{FF2B5EF4-FFF2-40B4-BE49-F238E27FC236}">
              <a16:creationId xmlns:a16="http://schemas.microsoft.com/office/drawing/2014/main" id="{34306B51-18E9-FD32-B202-EF79FE005CB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82880" y="45720"/>
          <a:ext cx="914400" cy="914400"/>
        </a:xfrm>
        <a:prstGeom prst="rect">
          <a:avLst/>
        </a:prstGeom>
      </xdr:spPr>
    </xdr:pic>
    <xdr:clientData/>
  </xdr:twoCellAnchor>
  <xdr:twoCellAnchor>
    <xdr:from>
      <xdr:col>8</xdr:col>
      <xdr:colOff>342900</xdr:colOff>
      <xdr:row>4</xdr:row>
      <xdr:rowOff>114300</xdr:rowOff>
    </xdr:from>
    <xdr:to>
      <xdr:col>14</xdr:col>
      <xdr:colOff>76200</xdr:colOff>
      <xdr:row>6</xdr:row>
      <xdr:rowOff>114300</xdr:rowOff>
    </xdr:to>
    <xdr:sp macro="" textlink="">
      <xdr:nvSpPr>
        <xdr:cNvPr id="60" name="TextBox 59">
          <a:extLst>
            <a:ext uri="{FF2B5EF4-FFF2-40B4-BE49-F238E27FC236}">
              <a16:creationId xmlns:a16="http://schemas.microsoft.com/office/drawing/2014/main" id="{40C8CA01-EE00-B583-25FE-A10A9E5CDCA6}"/>
            </a:ext>
          </a:extLst>
        </xdr:cNvPr>
        <xdr:cNvSpPr txBox="1"/>
      </xdr:nvSpPr>
      <xdr:spPr>
        <a:xfrm>
          <a:off x="5219700" y="845820"/>
          <a:ext cx="33909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PROODUCT</a:t>
          </a:r>
          <a:r>
            <a:rPr lang="en-IN" sz="1400" b="1" baseline="0">
              <a:solidFill>
                <a:schemeClr val="accent1"/>
              </a:solidFill>
            </a:rPr>
            <a:t> WISE REVENUE</a:t>
          </a:r>
          <a:endParaRPr lang="en-IN" sz="1400" b="1">
            <a:solidFill>
              <a:schemeClr val="accent1"/>
            </a:solidFill>
          </a:endParaRPr>
        </a:p>
      </xdr:txBody>
    </xdr:sp>
    <xdr:clientData/>
  </xdr:twoCellAnchor>
  <xdr:twoCellAnchor editAs="oneCell">
    <xdr:from>
      <xdr:col>0</xdr:col>
      <xdr:colOff>144780</xdr:colOff>
      <xdr:row>12</xdr:row>
      <xdr:rowOff>45721</xdr:rowOff>
    </xdr:from>
    <xdr:to>
      <xdr:col>3</xdr:col>
      <xdr:colOff>350520</xdr:colOff>
      <xdr:row>21</xdr:row>
      <xdr:rowOff>121921</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CF2A5331-142B-41BC-A865-288D07E5953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44780" y="2240281"/>
              <a:ext cx="203454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21</xdr:row>
      <xdr:rowOff>160020</xdr:rowOff>
    </xdr:from>
    <xdr:to>
      <xdr:col>3</xdr:col>
      <xdr:colOff>350520</xdr:colOff>
      <xdr:row>28</xdr:row>
      <xdr:rowOff>76199</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92B53650-4E48-40DB-9159-FEA404A33D5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2400" y="4000500"/>
              <a:ext cx="202692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548640</xdr:colOff>
      <xdr:row>0</xdr:row>
      <xdr:rowOff>144780</xdr:rowOff>
    </xdr:from>
    <xdr:to>
      <xdr:col>6</xdr:col>
      <xdr:colOff>320040</xdr:colOff>
      <xdr:row>4</xdr:row>
      <xdr:rowOff>99060</xdr:rowOff>
    </xdr:to>
    <xdr:sp macro="" textlink="">
      <xdr:nvSpPr>
        <xdr:cNvPr id="6" name="Rectangle: Rounded Corners 5">
          <a:extLst>
            <a:ext uri="{FF2B5EF4-FFF2-40B4-BE49-F238E27FC236}">
              <a16:creationId xmlns:a16="http://schemas.microsoft.com/office/drawing/2014/main" id="{A4BA0BB4-974A-37FE-0EB0-27C435F656F6}"/>
            </a:ext>
          </a:extLst>
        </xdr:cNvPr>
        <xdr:cNvSpPr/>
      </xdr:nvSpPr>
      <xdr:spPr>
        <a:xfrm>
          <a:off x="1158240" y="144780"/>
          <a:ext cx="2819400" cy="6858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accent1">
                  <a:lumMod val="75000"/>
                </a:schemeClr>
              </a:solidFill>
            </a:rPr>
            <a:t>Sales</a:t>
          </a:r>
          <a:r>
            <a:rPr lang="en-IN" sz="2800" baseline="0">
              <a:solidFill>
                <a:schemeClr val="accent1">
                  <a:lumMod val="75000"/>
                </a:schemeClr>
              </a:solidFill>
            </a:rPr>
            <a:t> Dashboard</a:t>
          </a:r>
          <a:endParaRPr lang="en-IN" sz="2800">
            <a:solidFill>
              <a:schemeClr val="accent1">
                <a:lumMod val="75000"/>
              </a:schemeClr>
            </a:solidFill>
          </a:endParaRPr>
        </a:p>
      </xdr:txBody>
    </xdr:sp>
    <xdr:clientData/>
  </xdr:twoCellAnchor>
  <xdr:twoCellAnchor>
    <xdr:from>
      <xdr:col>6</xdr:col>
      <xdr:colOff>457200</xdr:colOff>
      <xdr:row>0</xdr:row>
      <xdr:rowOff>38100</xdr:rowOff>
    </xdr:from>
    <xdr:to>
      <xdr:col>10</xdr:col>
      <xdr:colOff>182880</xdr:colOff>
      <xdr:row>4</xdr:row>
      <xdr:rowOff>137160</xdr:rowOff>
    </xdr:to>
    <xdr:sp macro="" textlink="">
      <xdr:nvSpPr>
        <xdr:cNvPr id="10" name="Rectangle: Rounded Corners 9">
          <a:extLst>
            <a:ext uri="{FF2B5EF4-FFF2-40B4-BE49-F238E27FC236}">
              <a16:creationId xmlns:a16="http://schemas.microsoft.com/office/drawing/2014/main" id="{34FEAACA-6E77-2492-8084-C255094B04C1}"/>
            </a:ext>
          </a:extLst>
        </xdr:cNvPr>
        <xdr:cNvSpPr/>
      </xdr:nvSpPr>
      <xdr:spPr>
        <a:xfrm>
          <a:off x="4114800" y="38100"/>
          <a:ext cx="2164080" cy="830580"/>
        </a:xfrm>
        <a:prstGeom prst="roundRect">
          <a:avLst>
            <a:gd name="adj" fmla="val 65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TOTAL</a:t>
          </a:r>
          <a:r>
            <a:rPr lang="en-IN" sz="2400" b="1" baseline="0"/>
            <a:t> SALES</a:t>
          </a:r>
          <a:endParaRPr lang="en-IN" sz="2400" b="1"/>
        </a:p>
      </xdr:txBody>
    </xdr:sp>
    <xdr:clientData/>
  </xdr:twoCellAnchor>
  <xdr:twoCellAnchor>
    <xdr:from>
      <xdr:col>6</xdr:col>
      <xdr:colOff>464820</xdr:colOff>
      <xdr:row>2</xdr:row>
      <xdr:rowOff>106680</xdr:rowOff>
    </xdr:from>
    <xdr:to>
      <xdr:col>9</xdr:col>
      <xdr:colOff>129540</xdr:colOff>
      <xdr:row>4</xdr:row>
      <xdr:rowOff>0</xdr:rowOff>
    </xdr:to>
    <xdr:sp macro="" textlink="">
      <xdr:nvSpPr>
        <xdr:cNvPr id="17" name="TextBox 16">
          <a:extLst>
            <a:ext uri="{FF2B5EF4-FFF2-40B4-BE49-F238E27FC236}">
              <a16:creationId xmlns:a16="http://schemas.microsoft.com/office/drawing/2014/main" id="{A257A7EA-ED06-A4FB-CB87-07CDFC5860D7}"/>
            </a:ext>
          </a:extLst>
        </xdr:cNvPr>
        <xdr:cNvSpPr txBox="1"/>
      </xdr:nvSpPr>
      <xdr:spPr>
        <a:xfrm>
          <a:off x="4122420" y="472440"/>
          <a:ext cx="14935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800" b="1">
            <a:solidFill>
              <a:schemeClr val="bg2"/>
            </a:solidFill>
          </a:endParaRPr>
        </a:p>
      </xdr:txBody>
    </xdr:sp>
    <xdr:clientData/>
  </xdr:twoCellAnchor>
  <xdr:twoCellAnchor>
    <xdr:from>
      <xdr:col>10</xdr:col>
      <xdr:colOff>236220</xdr:colOff>
      <xdr:row>0</xdr:row>
      <xdr:rowOff>30480</xdr:rowOff>
    </xdr:from>
    <xdr:to>
      <xdr:col>12</xdr:col>
      <xdr:colOff>381000</xdr:colOff>
      <xdr:row>3</xdr:row>
      <xdr:rowOff>91440</xdr:rowOff>
    </xdr:to>
    <xdr:sp macro="" textlink="">
      <xdr:nvSpPr>
        <xdr:cNvPr id="47" name="Rectangle: Rounded Corners 46">
          <a:extLst>
            <a:ext uri="{FF2B5EF4-FFF2-40B4-BE49-F238E27FC236}">
              <a16:creationId xmlns:a16="http://schemas.microsoft.com/office/drawing/2014/main" id="{97946062-117F-11E8-D1BC-CD6FF726F076}"/>
            </a:ext>
          </a:extLst>
        </xdr:cNvPr>
        <xdr:cNvSpPr/>
      </xdr:nvSpPr>
      <xdr:spPr>
        <a:xfrm>
          <a:off x="6332220" y="30480"/>
          <a:ext cx="136398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236220</xdr:colOff>
      <xdr:row>3</xdr:row>
      <xdr:rowOff>38100</xdr:rowOff>
    </xdr:from>
    <xdr:to>
      <xdr:col>12</xdr:col>
      <xdr:colOff>396240</xdr:colOff>
      <xdr:row>4</xdr:row>
      <xdr:rowOff>114300</xdr:rowOff>
    </xdr:to>
    <xdr:sp macro="" textlink="pi_t!E85">
      <xdr:nvSpPr>
        <xdr:cNvPr id="54" name="Rectangle: Rounded Corners 53">
          <a:extLst>
            <a:ext uri="{FF2B5EF4-FFF2-40B4-BE49-F238E27FC236}">
              <a16:creationId xmlns:a16="http://schemas.microsoft.com/office/drawing/2014/main" id="{F31633F1-79E7-18D8-5CDD-974F51D89813}"/>
            </a:ext>
          </a:extLst>
        </xdr:cNvPr>
        <xdr:cNvSpPr/>
      </xdr:nvSpPr>
      <xdr:spPr>
        <a:xfrm>
          <a:off x="6332220" y="586740"/>
          <a:ext cx="1379220" cy="2590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A38582-F52B-4D6E-838A-A49B5DB8518D}" type="TxLink">
            <a:rPr lang="en-US" sz="1600" b="1" i="0" u="none" strike="noStrike">
              <a:solidFill>
                <a:schemeClr val="tx2"/>
              </a:solidFill>
              <a:latin typeface="Calibri"/>
              <a:ea typeface="Calibri"/>
              <a:cs typeface="Calibri"/>
            </a:rPr>
            <a:pPr algn="ctr"/>
            <a:t>819</a:t>
          </a:fld>
          <a:endParaRPr lang="en-US" sz="2000" b="1">
            <a:solidFill>
              <a:schemeClr val="tx2"/>
            </a:solidFill>
          </a:endParaRPr>
        </a:p>
      </xdr:txBody>
    </xdr:sp>
    <xdr:clientData/>
  </xdr:twoCellAnchor>
  <xdr:twoCellAnchor>
    <xdr:from>
      <xdr:col>12</xdr:col>
      <xdr:colOff>441960</xdr:colOff>
      <xdr:row>0</xdr:row>
      <xdr:rowOff>38100</xdr:rowOff>
    </xdr:from>
    <xdr:to>
      <xdr:col>14</xdr:col>
      <xdr:colOff>586740</xdr:colOff>
      <xdr:row>3</xdr:row>
      <xdr:rowOff>99060</xdr:rowOff>
    </xdr:to>
    <xdr:sp macro="" textlink="">
      <xdr:nvSpPr>
        <xdr:cNvPr id="102" name="Rectangle: Rounded Corners 101">
          <a:extLst>
            <a:ext uri="{FF2B5EF4-FFF2-40B4-BE49-F238E27FC236}">
              <a16:creationId xmlns:a16="http://schemas.microsoft.com/office/drawing/2014/main" id="{ED3973CC-0DAC-1D91-2B77-2591ADAC3D6C}"/>
            </a:ext>
          </a:extLst>
        </xdr:cNvPr>
        <xdr:cNvSpPr/>
      </xdr:nvSpPr>
      <xdr:spPr>
        <a:xfrm>
          <a:off x="7757160" y="38100"/>
          <a:ext cx="136398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441960</xdr:colOff>
      <xdr:row>3</xdr:row>
      <xdr:rowOff>38100</xdr:rowOff>
    </xdr:from>
    <xdr:to>
      <xdr:col>14</xdr:col>
      <xdr:colOff>601980</xdr:colOff>
      <xdr:row>4</xdr:row>
      <xdr:rowOff>114300</xdr:rowOff>
    </xdr:to>
    <xdr:sp macro="" textlink="pi_t!E83">
      <xdr:nvSpPr>
        <xdr:cNvPr id="103" name="Rectangle: Rounded Corners 102">
          <a:extLst>
            <a:ext uri="{FF2B5EF4-FFF2-40B4-BE49-F238E27FC236}">
              <a16:creationId xmlns:a16="http://schemas.microsoft.com/office/drawing/2014/main" id="{E0E60BCA-4251-7593-27B7-1F2FCE1F2A63}"/>
            </a:ext>
          </a:extLst>
        </xdr:cNvPr>
        <xdr:cNvSpPr/>
      </xdr:nvSpPr>
      <xdr:spPr>
        <a:xfrm>
          <a:off x="7757160" y="586740"/>
          <a:ext cx="1379220" cy="2590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25DF7E-C02A-4DCE-81E0-D2DA7CB36B85}" type="TxLink">
            <a:rPr lang="en-US" sz="1600" b="1" i="0" u="none" strike="noStrike">
              <a:solidFill>
                <a:schemeClr val="tx2"/>
              </a:solidFill>
              <a:latin typeface="Calibri"/>
              <a:ea typeface="Calibri"/>
              <a:cs typeface="Calibri"/>
            </a:rPr>
            <a:pPr algn="ctr"/>
            <a:t>1072</a:t>
          </a:fld>
          <a:endParaRPr lang="en-IN" sz="1600" b="1">
            <a:solidFill>
              <a:schemeClr val="tx2"/>
            </a:solidFill>
          </a:endParaRPr>
        </a:p>
      </xdr:txBody>
    </xdr:sp>
    <xdr:clientData/>
  </xdr:twoCellAnchor>
  <xdr:twoCellAnchor>
    <xdr:from>
      <xdr:col>15</xdr:col>
      <xdr:colOff>30480</xdr:colOff>
      <xdr:row>0</xdr:row>
      <xdr:rowOff>30480</xdr:rowOff>
    </xdr:from>
    <xdr:to>
      <xdr:col>17</xdr:col>
      <xdr:colOff>175260</xdr:colOff>
      <xdr:row>3</xdr:row>
      <xdr:rowOff>91440</xdr:rowOff>
    </xdr:to>
    <xdr:sp macro="" textlink="">
      <xdr:nvSpPr>
        <xdr:cNvPr id="112" name="Rectangle: Rounded Corners 111">
          <a:extLst>
            <a:ext uri="{FF2B5EF4-FFF2-40B4-BE49-F238E27FC236}">
              <a16:creationId xmlns:a16="http://schemas.microsoft.com/office/drawing/2014/main" id="{C73E9AAC-A72A-2B35-9484-2F68E01CCF92}"/>
            </a:ext>
          </a:extLst>
        </xdr:cNvPr>
        <xdr:cNvSpPr/>
      </xdr:nvSpPr>
      <xdr:spPr>
        <a:xfrm>
          <a:off x="9174480" y="30480"/>
          <a:ext cx="136398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30480</xdr:colOff>
      <xdr:row>3</xdr:row>
      <xdr:rowOff>38100</xdr:rowOff>
    </xdr:from>
    <xdr:to>
      <xdr:col>17</xdr:col>
      <xdr:colOff>190500</xdr:colOff>
      <xdr:row>4</xdr:row>
      <xdr:rowOff>114300</xdr:rowOff>
    </xdr:to>
    <xdr:sp macro="" textlink="pi_t!E86">
      <xdr:nvSpPr>
        <xdr:cNvPr id="113" name="Rectangle: Rounded Corners 112">
          <a:extLst>
            <a:ext uri="{FF2B5EF4-FFF2-40B4-BE49-F238E27FC236}">
              <a16:creationId xmlns:a16="http://schemas.microsoft.com/office/drawing/2014/main" id="{BD1BD072-B25B-DE2C-9E7A-6376409CE1B5}"/>
            </a:ext>
          </a:extLst>
        </xdr:cNvPr>
        <xdr:cNvSpPr/>
      </xdr:nvSpPr>
      <xdr:spPr>
        <a:xfrm>
          <a:off x="9174480" y="586740"/>
          <a:ext cx="1379220" cy="2590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B1D3E4-B20D-4B5B-A785-91A503311E86}" type="TxLink">
            <a:rPr lang="en-US" sz="1600" b="1" i="0" u="none" strike="noStrike">
              <a:solidFill>
                <a:schemeClr val="tx2"/>
              </a:solidFill>
              <a:latin typeface="Calibri"/>
              <a:ea typeface="Calibri"/>
              <a:cs typeface="Calibri"/>
            </a:rPr>
            <a:pPr algn="ctr"/>
            <a:t>807</a:t>
          </a:fld>
          <a:endParaRPr lang="en-IN" sz="1600" b="1">
            <a:solidFill>
              <a:schemeClr val="tx2"/>
            </a:solidFill>
          </a:endParaRPr>
        </a:p>
      </xdr:txBody>
    </xdr:sp>
    <xdr:clientData/>
  </xdr:twoCellAnchor>
  <xdr:twoCellAnchor>
    <xdr:from>
      <xdr:col>17</xdr:col>
      <xdr:colOff>236220</xdr:colOff>
      <xdr:row>0</xdr:row>
      <xdr:rowOff>38100</xdr:rowOff>
    </xdr:from>
    <xdr:to>
      <xdr:col>19</xdr:col>
      <xdr:colOff>381000</xdr:colOff>
      <xdr:row>3</xdr:row>
      <xdr:rowOff>99060</xdr:rowOff>
    </xdr:to>
    <xdr:sp macro="" textlink="">
      <xdr:nvSpPr>
        <xdr:cNvPr id="114" name="Rectangle: Rounded Corners 113">
          <a:extLst>
            <a:ext uri="{FF2B5EF4-FFF2-40B4-BE49-F238E27FC236}">
              <a16:creationId xmlns:a16="http://schemas.microsoft.com/office/drawing/2014/main" id="{5401F7DE-A041-89AF-B8C1-0A9720484EBE}"/>
            </a:ext>
          </a:extLst>
        </xdr:cNvPr>
        <xdr:cNvSpPr/>
      </xdr:nvSpPr>
      <xdr:spPr>
        <a:xfrm>
          <a:off x="10599420" y="38100"/>
          <a:ext cx="136398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243840</xdr:colOff>
      <xdr:row>3</xdr:row>
      <xdr:rowOff>22860</xdr:rowOff>
    </xdr:from>
    <xdr:to>
      <xdr:col>19</xdr:col>
      <xdr:colOff>403860</xdr:colOff>
      <xdr:row>4</xdr:row>
      <xdr:rowOff>99060</xdr:rowOff>
    </xdr:to>
    <xdr:sp macro="" textlink="pi_t!E84">
      <xdr:nvSpPr>
        <xdr:cNvPr id="115" name="Rectangle: Rounded Corners 114">
          <a:extLst>
            <a:ext uri="{FF2B5EF4-FFF2-40B4-BE49-F238E27FC236}">
              <a16:creationId xmlns:a16="http://schemas.microsoft.com/office/drawing/2014/main" id="{E0BD314A-3CBC-14AA-EDD0-60C55BA08D07}"/>
            </a:ext>
          </a:extLst>
        </xdr:cNvPr>
        <xdr:cNvSpPr/>
      </xdr:nvSpPr>
      <xdr:spPr>
        <a:xfrm>
          <a:off x="10607040" y="571500"/>
          <a:ext cx="1379220" cy="2590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35DC554-91CD-400B-97E3-A2B7FFF5E3F8}" type="TxLink">
            <a:rPr lang="en-US" sz="1600" b="1" i="0" u="none" strike="noStrike">
              <a:solidFill>
                <a:schemeClr val="tx2"/>
              </a:solidFill>
              <a:latin typeface="Calibri"/>
              <a:ea typeface="Calibri"/>
              <a:cs typeface="Calibri"/>
            </a:rPr>
            <a:pPr algn="ctr"/>
            <a:t>1328</a:t>
          </a:fld>
          <a:endParaRPr lang="en-IN" sz="1600" b="1">
            <a:solidFill>
              <a:schemeClr val="tx2"/>
            </a:solidFill>
          </a:endParaRPr>
        </a:p>
      </xdr:txBody>
    </xdr:sp>
    <xdr:clientData/>
  </xdr:twoCellAnchor>
  <xdr:twoCellAnchor>
    <xdr:from>
      <xdr:col>19</xdr:col>
      <xdr:colOff>457200</xdr:colOff>
      <xdr:row>0</xdr:row>
      <xdr:rowOff>38100</xdr:rowOff>
    </xdr:from>
    <xdr:to>
      <xdr:col>21</xdr:col>
      <xdr:colOff>601980</xdr:colOff>
      <xdr:row>3</xdr:row>
      <xdr:rowOff>99060</xdr:rowOff>
    </xdr:to>
    <xdr:sp macro="" textlink="">
      <xdr:nvSpPr>
        <xdr:cNvPr id="116" name="Rectangle: Rounded Corners 115">
          <a:extLst>
            <a:ext uri="{FF2B5EF4-FFF2-40B4-BE49-F238E27FC236}">
              <a16:creationId xmlns:a16="http://schemas.microsoft.com/office/drawing/2014/main" id="{FF9285DE-26EC-537F-5242-C89B21DCF404}"/>
            </a:ext>
          </a:extLst>
        </xdr:cNvPr>
        <xdr:cNvSpPr/>
      </xdr:nvSpPr>
      <xdr:spPr>
        <a:xfrm>
          <a:off x="12039600" y="38100"/>
          <a:ext cx="136398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441960</xdr:colOff>
      <xdr:row>3</xdr:row>
      <xdr:rowOff>30480</xdr:rowOff>
    </xdr:from>
    <xdr:to>
      <xdr:col>21</xdr:col>
      <xdr:colOff>601980</xdr:colOff>
      <xdr:row>4</xdr:row>
      <xdr:rowOff>106680</xdr:rowOff>
    </xdr:to>
    <xdr:sp macro="" textlink="pi_t!E87">
      <xdr:nvSpPr>
        <xdr:cNvPr id="117" name="Rectangle: Rounded Corners 116">
          <a:extLst>
            <a:ext uri="{FF2B5EF4-FFF2-40B4-BE49-F238E27FC236}">
              <a16:creationId xmlns:a16="http://schemas.microsoft.com/office/drawing/2014/main" id="{58006BE6-CA73-BF62-8C5F-22EFF41EE3C5}"/>
            </a:ext>
          </a:extLst>
        </xdr:cNvPr>
        <xdr:cNvSpPr/>
      </xdr:nvSpPr>
      <xdr:spPr>
        <a:xfrm>
          <a:off x="12024360" y="579120"/>
          <a:ext cx="1379220" cy="2590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35707BA-46F2-4B7B-8E3B-DB107A7583FA}" type="TxLink">
            <a:rPr lang="en-US" sz="1600" b="1" i="0" u="none" strike="noStrike">
              <a:solidFill>
                <a:schemeClr val="tx2"/>
              </a:solidFill>
              <a:latin typeface="Calibri"/>
              <a:ea typeface="Calibri"/>
              <a:cs typeface="Calibri"/>
            </a:rPr>
            <a:pPr algn="ctr"/>
            <a:t>660</a:t>
          </a:fld>
          <a:endParaRPr lang="en-IN" sz="1600" b="1">
            <a:solidFill>
              <a:schemeClr val="tx2"/>
            </a:solidFill>
          </a:endParaRPr>
        </a:p>
      </xdr:txBody>
    </xdr:sp>
    <xdr:clientData/>
  </xdr:twoCellAnchor>
  <xdr:twoCellAnchor editAs="oneCell">
    <xdr:from>
      <xdr:col>17</xdr:col>
      <xdr:colOff>426720</xdr:colOff>
      <xdr:row>0</xdr:row>
      <xdr:rowOff>0</xdr:rowOff>
    </xdr:from>
    <xdr:to>
      <xdr:col>19</xdr:col>
      <xdr:colOff>121920</xdr:colOff>
      <xdr:row>3</xdr:row>
      <xdr:rowOff>99060</xdr:rowOff>
    </xdr:to>
    <xdr:pic>
      <xdr:nvPicPr>
        <xdr:cNvPr id="125" name="Graphic 124" descr="Laptop">
          <a:extLst>
            <a:ext uri="{FF2B5EF4-FFF2-40B4-BE49-F238E27FC236}">
              <a16:creationId xmlns:a16="http://schemas.microsoft.com/office/drawing/2014/main" id="{CB815078-E5D2-AC5F-BBAA-DCAFA6C89C7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789920" y="0"/>
          <a:ext cx="914400" cy="647700"/>
        </a:xfrm>
        <a:prstGeom prst="rect">
          <a:avLst/>
        </a:prstGeom>
      </xdr:spPr>
    </xdr:pic>
    <xdr:clientData/>
  </xdr:twoCellAnchor>
  <xdr:twoCellAnchor editAs="oneCell">
    <xdr:from>
      <xdr:col>15</xdr:col>
      <xdr:colOff>236220</xdr:colOff>
      <xdr:row>0</xdr:row>
      <xdr:rowOff>30480</xdr:rowOff>
    </xdr:from>
    <xdr:to>
      <xdr:col>16</xdr:col>
      <xdr:colOff>541020</xdr:colOff>
      <xdr:row>3</xdr:row>
      <xdr:rowOff>53340</xdr:rowOff>
    </xdr:to>
    <xdr:pic>
      <xdr:nvPicPr>
        <xdr:cNvPr id="127" name="Graphic 126" descr="Smart Phone">
          <a:extLst>
            <a:ext uri="{FF2B5EF4-FFF2-40B4-BE49-F238E27FC236}">
              <a16:creationId xmlns:a16="http://schemas.microsoft.com/office/drawing/2014/main" id="{63201947-3DB1-4FF7-3E75-4699598507B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380220" y="30480"/>
          <a:ext cx="914400" cy="571500"/>
        </a:xfrm>
        <a:prstGeom prst="rect">
          <a:avLst/>
        </a:prstGeom>
      </xdr:spPr>
    </xdr:pic>
    <xdr:clientData/>
  </xdr:twoCellAnchor>
  <xdr:twoCellAnchor editAs="oneCell">
    <xdr:from>
      <xdr:col>20</xdr:col>
      <xdr:colOff>53340</xdr:colOff>
      <xdr:row>0</xdr:row>
      <xdr:rowOff>38100</xdr:rowOff>
    </xdr:from>
    <xdr:to>
      <xdr:col>21</xdr:col>
      <xdr:colOff>358140</xdr:colOff>
      <xdr:row>3</xdr:row>
      <xdr:rowOff>76200</xdr:rowOff>
    </xdr:to>
    <xdr:pic>
      <xdr:nvPicPr>
        <xdr:cNvPr id="129" name="Graphic 128" descr="Tablet">
          <a:extLst>
            <a:ext uri="{FF2B5EF4-FFF2-40B4-BE49-F238E27FC236}">
              <a16:creationId xmlns:a16="http://schemas.microsoft.com/office/drawing/2014/main" id="{0C82DA3F-8DF2-D627-CC26-1CD68E4D1E9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245340" y="38100"/>
          <a:ext cx="914400" cy="586740"/>
        </a:xfrm>
        <a:prstGeom prst="rect">
          <a:avLst/>
        </a:prstGeom>
      </xdr:spPr>
    </xdr:pic>
    <xdr:clientData/>
  </xdr:twoCellAnchor>
  <xdr:twoCellAnchor editAs="oneCell">
    <xdr:from>
      <xdr:col>13</xdr:col>
      <xdr:colOff>83820</xdr:colOff>
      <xdr:row>0</xdr:row>
      <xdr:rowOff>0</xdr:rowOff>
    </xdr:from>
    <xdr:to>
      <xdr:col>14</xdr:col>
      <xdr:colOff>388620</xdr:colOff>
      <xdr:row>3</xdr:row>
      <xdr:rowOff>114300</xdr:rowOff>
    </xdr:to>
    <xdr:pic>
      <xdr:nvPicPr>
        <xdr:cNvPr id="131" name="Graphic 130" descr="Headphones">
          <a:extLst>
            <a:ext uri="{FF2B5EF4-FFF2-40B4-BE49-F238E27FC236}">
              <a16:creationId xmlns:a16="http://schemas.microsoft.com/office/drawing/2014/main" id="{9A07C834-9964-C50B-BD7F-556DE4801E5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8008620" y="0"/>
          <a:ext cx="914400" cy="662940"/>
        </a:xfrm>
        <a:prstGeom prst="rect">
          <a:avLst/>
        </a:prstGeom>
      </xdr:spPr>
    </xdr:pic>
    <xdr:clientData/>
  </xdr:twoCellAnchor>
  <xdr:twoCellAnchor editAs="oneCell">
    <xdr:from>
      <xdr:col>10</xdr:col>
      <xdr:colOff>472440</xdr:colOff>
      <xdr:row>0</xdr:row>
      <xdr:rowOff>0</xdr:rowOff>
    </xdr:from>
    <xdr:to>
      <xdr:col>12</xdr:col>
      <xdr:colOff>167640</xdr:colOff>
      <xdr:row>3</xdr:row>
      <xdr:rowOff>106680</xdr:rowOff>
    </xdr:to>
    <xdr:pic>
      <xdr:nvPicPr>
        <xdr:cNvPr id="133" name="Graphic 132" descr="Monitor">
          <a:extLst>
            <a:ext uri="{FF2B5EF4-FFF2-40B4-BE49-F238E27FC236}">
              <a16:creationId xmlns:a16="http://schemas.microsoft.com/office/drawing/2014/main" id="{2D216D0D-58B6-36F5-E648-8E471F71E755}"/>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6568440" y="0"/>
          <a:ext cx="914400" cy="655320"/>
        </a:xfrm>
        <a:prstGeom prst="rect">
          <a:avLst/>
        </a:prstGeom>
      </xdr:spPr>
    </xdr:pic>
    <xdr:clientData/>
  </xdr:twoCellAnchor>
  <xdr:twoCellAnchor>
    <xdr:from>
      <xdr:col>7</xdr:col>
      <xdr:colOff>53340</xdr:colOff>
      <xdr:row>2</xdr:row>
      <xdr:rowOff>68580</xdr:rowOff>
    </xdr:from>
    <xdr:to>
      <xdr:col>10</xdr:col>
      <xdr:colOff>68580</xdr:colOff>
      <xdr:row>4</xdr:row>
      <xdr:rowOff>22860</xdr:rowOff>
    </xdr:to>
    <xdr:sp macro="" textlink="pi_t!E88">
      <xdr:nvSpPr>
        <xdr:cNvPr id="7" name="Rectangle: Rounded Corners 6">
          <a:extLst>
            <a:ext uri="{FF2B5EF4-FFF2-40B4-BE49-F238E27FC236}">
              <a16:creationId xmlns:a16="http://schemas.microsoft.com/office/drawing/2014/main" id="{374A7E2A-0852-6522-3C72-8FA2745D4240}"/>
            </a:ext>
          </a:extLst>
        </xdr:cNvPr>
        <xdr:cNvSpPr/>
      </xdr:nvSpPr>
      <xdr:spPr>
        <a:xfrm>
          <a:off x="4320540" y="434340"/>
          <a:ext cx="1844040" cy="3200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63FC73CD-59EC-4866-BB3F-071DA2F3FECB}" type="TxLink">
            <a:rPr lang="en-US" sz="2400" b="1" i="0" u="none" strike="noStrike">
              <a:solidFill>
                <a:srgbClr val="002060"/>
              </a:solidFill>
              <a:latin typeface="Calibri"/>
              <a:ea typeface="Calibri"/>
              <a:cs typeface="Calibri"/>
            </a:rPr>
            <a:pPr algn="l"/>
            <a:t>4686</a:t>
          </a:fld>
          <a:endParaRPr lang="en-IN" sz="4800" b="1">
            <a:solidFill>
              <a:srgbClr val="002060"/>
            </a:solidFill>
          </a:endParaRPr>
        </a:p>
      </xdr:txBody>
    </xdr:sp>
    <xdr:clientData/>
  </xdr:twoCellAnchor>
  <xdr:twoCellAnchor editAs="oneCell">
    <xdr:from>
      <xdr:col>8</xdr:col>
      <xdr:colOff>365760</xdr:colOff>
      <xdr:row>2</xdr:row>
      <xdr:rowOff>15240</xdr:rowOff>
    </xdr:from>
    <xdr:to>
      <xdr:col>10</xdr:col>
      <xdr:colOff>60960</xdr:colOff>
      <xdr:row>4</xdr:row>
      <xdr:rowOff>106680</xdr:rowOff>
    </xdr:to>
    <xdr:pic>
      <xdr:nvPicPr>
        <xdr:cNvPr id="19" name="Graphic 18" descr="Upward trend">
          <a:extLst>
            <a:ext uri="{FF2B5EF4-FFF2-40B4-BE49-F238E27FC236}">
              <a16:creationId xmlns:a16="http://schemas.microsoft.com/office/drawing/2014/main" id="{6D1C900B-1E2F-6B27-ABE8-2644D3A5BDAD}"/>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5242560" y="381000"/>
          <a:ext cx="914400" cy="45720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0.41371</cdr:x>
      <cdr:y>0.42379</cdr:y>
    </cdr:from>
    <cdr:to>
      <cdr:x>0.65485</cdr:x>
      <cdr:y>0.56114</cdr:y>
    </cdr:to>
    <cdr:sp macro="" textlink="pi_t!$D$3">
      <cdr:nvSpPr>
        <cdr:cNvPr id="2" name="TextBox 1">
          <a:extLst xmlns:a="http://schemas.openxmlformats.org/drawingml/2006/main">
            <a:ext uri="{FF2B5EF4-FFF2-40B4-BE49-F238E27FC236}">
              <a16:creationId xmlns:a16="http://schemas.microsoft.com/office/drawing/2014/main" id="{4E7D7364-2065-5474-EA9C-06F3FC797C0B}"/>
            </a:ext>
          </a:extLst>
        </cdr:cNvPr>
        <cdr:cNvSpPr txBox="1"/>
      </cdr:nvSpPr>
      <cdr:spPr>
        <a:xfrm xmlns:a="http://schemas.openxmlformats.org/drawingml/2006/main">
          <a:off x="1333487" y="963941"/>
          <a:ext cx="777257" cy="3124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FE109360-F46A-4B2A-B7FF-7AD3371CB1F2}" type="TxLink">
            <a:rPr lang="en-US" sz="1200" b="1" i="0" u="none" strike="noStrike" kern="1200">
              <a:solidFill>
                <a:schemeClr val="tx2"/>
              </a:solidFill>
              <a:latin typeface="Calibri"/>
              <a:ea typeface="Calibri"/>
              <a:cs typeface="Calibri"/>
            </a:rPr>
            <a:pPr/>
            <a:t>27.19%</a:t>
          </a:fld>
          <a:endParaRPr lang="en-IN" sz="1200" b="1" kern="1200">
            <a:solidFill>
              <a:schemeClr val="tx2"/>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0.3948</cdr:x>
      <cdr:y>0.42713</cdr:y>
    </cdr:from>
    <cdr:to>
      <cdr:x>0.61466</cdr:x>
      <cdr:y>0.56449</cdr:y>
    </cdr:to>
    <cdr:sp macro="" textlink="pi_t!$D$5">
      <cdr:nvSpPr>
        <cdr:cNvPr id="2" name="TextBox 1">
          <a:extLst xmlns:a="http://schemas.openxmlformats.org/drawingml/2006/main">
            <a:ext uri="{FF2B5EF4-FFF2-40B4-BE49-F238E27FC236}">
              <a16:creationId xmlns:a16="http://schemas.microsoft.com/office/drawing/2014/main" id="{4E7D7364-2065-5474-EA9C-06F3FC797C0B}"/>
            </a:ext>
          </a:extLst>
        </cdr:cNvPr>
        <cdr:cNvSpPr txBox="1"/>
      </cdr:nvSpPr>
      <cdr:spPr>
        <a:xfrm xmlns:a="http://schemas.openxmlformats.org/drawingml/2006/main">
          <a:off x="1272527" y="971538"/>
          <a:ext cx="708666" cy="3124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3A2AC49-CC02-4616-9B14-0791E67AE172}" type="TxLink">
            <a:rPr lang="en-US" sz="1200" b="1" i="0" u="none" strike="noStrike" kern="1200">
              <a:solidFill>
                <a:schemeClr val="tx2"/>
              </a:solidFill>
              <a:latin typeface="Calibri"/>
              <a:ea typeface="Calibri"/>
              <a:cs typeface="Calibri"/>
            </a:rPr>
            <a:pPr/>
            <a:t>11.02%</a:t>
          </a:fld>
          <a:endParaRPr lang="en-IN" sz="1050" b="1" kern="1200">
            <a:solidFill>
              <a:schemeClr val="tx2"/>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0.41135</cdr:x>
      <cdr:y>0.42043</cdr:y>
    </cdr:from>
    <cdr:to>
      <cdr:x>0.66195</cdr:x>
      <cdr:y>0.54271</cdr:y>
    </cdr:to>
    <cdr:sp macro="" textlink="pi_t!$D$6">
      <cdr:nvSpPr>
        <cdr:cNvPr id="2" name="TextBox 1">
          <a:extLst xmlns:a="http://schemas.openxmlformats.org/drawingml/2006/main">
            <a:ext uri="{FF2B5EF4-FFF2-40B4-BE49-F238E27FC236}">
              <a16:creationId xmlns:a16="http://schemas.microsoft.com/office/drawing/2014/main" id="{4E7D7364-2065-5474-EA9C-06F3FC797C0B}"/>
            </a:ext>
          </a:extLst>
        </cdr:cNvPr>
        <cdr:cNvSpPr txBox="1"/>
      </cdr:nvSpPr>
      <cdr:spPr>
        <a:xfrm xmlns:a="http://schemas.openxmlformats.org/drawingml/2006/main">
          <a:off x="1325880" y="956299"/>
          <a:ext cx="807749" cy="27813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6DC182E8-0F1C-4DBA-AF1B-064F62E41668}" type="TxLink">
            <a:rPr lang="en-US" sz="1200" b="1" i="0" u="none" strike="noStrike" kern="1200">
              <a:solidFill>
                <a:schemeClr val="tx2"/>
              </a:solidFill>
              <a:latin typeface="Calibri"/>
              <a:ea typeface="Calibri"/>
              <a:cs typeface="Calibri"/>
            </a:rPr>
            <a:pPr/>
            <a:t>18.96%</a:t>
          </a:fld>
          <a:endParaRPr lang="en-IN" sz="1050" b="1" kern="1200">
            <a:solidFill>
              <a:schemeClr val="tx2"/>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0.42554</cdr:x>
      <cdr:y>0.42378</cdr:y>
    </cdr:from>
    <cdr:to>
      <cdr:x>0.66668</cdr:x>
      <cdr:y>0.56114</cdr:y>
    </cdr:to>
    <cdr:sp macro="" textlink="pi_t!$D$4">
      <cdr:nvSpPr>
        <cdr:cNvPr id="2" name="TextBox 1">
          <a:extLst xmlns:a="http://schemas.openxmlformats.org/drawingml/2006/main">
            <a:ext uri="{FF2B5EF4-FFF2-40B4-BE49-F238E27FC236}">
              <a16:creationId xmlns:a16="http://schemas.microsoft.com/office/drawing/2014/main" id="{4E7D7364-2065-5474-EA9C-06F3FC797C0B}"/>
            </a:ext>
          </a:extLst>
        </cdr:cNvPr>
        <cdr:cNvSpPr txBox="1"/>
      </cdr:nvSpPr>
      <cdr:spPr>
        <a:xfrm xmlns:a="http://schemas.openxmlformats.org/drawingml/2006/main">
          <a:off x="1371613" y="963918"/>
          <a:ext cx="777257" cy="3124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19A9037-5B2E-4EA2-8696-322AA0CF578A}" type="TxLink">
            <a:rPr lang="en-US" sz="1200" b="1" i="0" u="none" strike="noStrike" kern="1200">
              <a:solidFill>
                <a:schemeClr val="tx2"/>
              </a:solidFill>
              <a:latin typeface="Calibri"/>
              <a:ea typeface="Calibri"/>
              <a:cs typeface="Calibri"/>
            </a:rPr>
            <a:pPr/>
            <a:t>20.72%</a:t>
          </a:fld>
          <a:endParaRPr lang="en-IN" sz="1050" b="1" kern="1200">
            <a:solidFill>
              <a:schemeClr val="tx2"/>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0.40662</cdr:x>
      <cdr:y>0.42378</cdr:y>
    </cdr:from>
    <cdr:to>
      <cdr:x>0.64776</cdr:x>
      <cdr:y>0.56114</cdr:y>
    </cdr:to>
    <cdr:sp macro="" textlink="pi_t!$D$7">
      <cdr:nvSpPr>
        <cdr:cNvPr id="2" name="TextBox 1">
          <a:extLst xmlns:a="http://schemas.openxmlformats.org/drawingml/2006/main">
            <a:ext uri="{FF2B5EF4-FFF2-40B4-BE49-F238E27FC236}">
              <a16:creationId xmlns:a16="http://schemas.microsoft.com/office/drawing/2014/main" id="{4E7D7364-2065-5474-EA9C-06F3FC797C0B}"/>
            </a:ext>
          </a:extLst>
        </cdr:cNvPr>
        <cdr:cNvSpPr txBox="1"/>
      </cdr:nvSpPr>
      <cdr:spPr>
        <a:xfrm xmlns:a="http://schemas.openxmlformats.org/drawingml/2006/main">
          <a:off x="1310627" y="963919"/>
          <a:ext cx="777257" cy="3124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EF686E3E-2098-4957-B051-38F902C3C639}" type="TxLink">
            <a:rPr lang="en-US" sz="1200" b="1" i="0" u="none" strike="noStrike" kern="1200">
              <a:solidFill>
                <a:schemeClr val="tx2"/>
              </a:solidFill>
              <a:latin typeface="Calibri"/>
              <a:ea typeface="Calibri"/>
              <a:cs typeface="Calibri"/>
            </a:rPr>
            <a:pPr/>
            <a:t>22.11%</a:t>
          </a:fld>
          <a:endParaRPr lang="en-IN" sz="1050" b="1" kern="1200">
            <a:solidFill>
              <a:schemeClr val="tx2"/>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KS" refreshedDate="45994.766288657411" createdVersion="8" refreshedVersion="8" minRefreshableVersion="3" recordCount="100" xr:uid="{10EAA0B6-3AAD-43B6-912D-625A63FEF550}">
  <cacheSource type="worksheet">
    <worksheetSource ref="A1:J101" sheet="Data"/>
  </cacheSource>
  <cacheFields count="12">
    <cacheField name="Order ID" numFmtId="0">
      <sharedItems/>
    </cacheField>
    <cacheField name="Product" numFmtId="0">
      <sharedItems count="5">
        <s v="Smartphone"/>
        <s v="Monitor"/>
        <s v="Headphones"/>
        <s v="Laptop"/>
        <s v="Tablet"/>
      </sharedItems>
    </cacheField>
    <cacheField name="Category" numFmtId="0">
      <sharedItems count="3">
        <s v="Electronics"/>
        <s v="Peripherals"/>
        <s v="Accessories"/>
      </sharedItems>
    </cacheField>
    <cacheField name="Quantity Sold" numFmtId="0">
      <sharedItems containsSemiMixedTypes="0" containsString="0" containsNumber="1" containsInteger="1" minValue="2" maxValue="97"/>
    </cacheField>
    <cacheField name="Revenue ($)" numFmtId="165">
      <sharedItems containsSemiMixedTypes="0" containsString="0" containsNumber="1" minValue="100.6" maxValue="4982.84"/>
    </cacheField>
    <cacheField name="Discount (%)" numFmtId="2">
      <sharedItems containsSemiMixedTypes="0" containsString="0" containsNumber="1" minValue="3.18" maxValue="48.83"/>
    </cacheField>
    <cacheField name="Salesperson" numFmtId="0">
      <sharedItems count="100">
        <s v="Richard Scott"/>
        <s v="Jacob Miller"/>
        <s v="Michael Murphy"/>
        <s v="Catherine Romero"/>
        <s v="Justin Becker"/>
        <s v="Ashley Anderson"/>
        <s v="Kristine Buck"/>
        <s v="Sydney Cantrell"/>
        <s v="Scott Williams"/>
        <s v="Dr. Nathaniel James"/>
        <s v="Anthony Medina"/>
        <s v="Gary Williams"/>
        <s v="Kevin Jones"/>
        <s v="Joseph Wagner"/>
        <s v="Christopher James"/>
        <s v="Frances Campbell"/>
        <s v="Jeffrey Evans"/>
        <s v="Adam Benson"/>
        <s v="Tanner Duke"/>
        <s v="Leslie Nichols"/>
        <s v="Jennifer Choi"/>
        <s v="Paul Lane"/>
        <s v="Kenneth Smith"/>
        <s v="Jesus Fisher"/>
        <s v="Kyle Vargas"/>
        <s v="Maria Smith"/>
        <s v="Jose Bradley"/>
        <s v="Leah Orozco"/>
        <s v="Nathan Burns"/>
        <s v="Andrew Simmons"/>
        <s v="Alicia Ortiz"/>
        <s v="Ashley Jackson"/>
        <s v="Christine Cortez"/>
        <s v="Mark Solomon"/>
        <s v="Katherine Baker"/>
        <s v="Anthony Stafford"/>
        <s v="Monique Smith"/>
        <s v="Isabel Harris"/>
        <s v="Meghan Lewis"/>
        <s v="Justin Oconnor"/>
        <s v="Daniel Ray"/>
        <s v="Monica Fisher"/>
        <s v="Tanya Lawrence"/>
        <s v="Sheila Stevens"/>
        <s v="Eugene Combs"/>
        <s v="Joshua Wright"/>
        <s v="Rachel Osborn"/>
        <s v="Shawn Barker"/>
        <s v="Joel Graves"/>
        <s v="Erica Campbell"/>
        <s v="Susan Garcia"/>
        <s v="Steven Mason"/>
        <s v="Kevin Lopez"/>
        <s v="Jamie Wilkinson"/>
        <s v="Peter White"/>
        <s v="Melissa Myers"/>
        <s v="Jennifer Brown"/>
        <s v="Jeremy Cisneros"/>
        <s v="Nancy Lawrence"/>
        <s v="Dr. Erica Waters"/>
        <s v="Sarah Morris"/>
        <s v="Matthew Silva"/>
        <s v="Ashley Luna"/>
        <s v="James Peterson"/>
        <s v="Alexis Lewis MD"/>
        <s v="Joyce Ellis"/>
        <s v="Cody Smith"/>
        <s v="Amy Carlson"/>
        <s v="Karina Chapman"/>
        <s v="Joshua Miller"/>
        <s v="Christine Robinson"/>
        <s v="Johnny Reyes"/>
        <s v="Michael Stevens"/>
        <s v="Katherine Jackson"/>
        <s v="Chad Green"/>
        <s v="Kelly Barker"/>
        <s v="James Smith"/>
        <s v="Patricia Wise"/>
        <s v="Hunter Lawrence"/>
        <s v="Nicholas Howell"/>
        <s v="Joy Page"/>
        <s v="Caitlyn Curry"/>
        <s v="Timothy Dixon"/>
        <s v="Matthew Stone"/>
        <s v="Jack Perry"/>
        <s v="Kimberly Thompson"/>
        <s v="Casey Miller"/>
        <s v="Connie Drake"/>
        <s v="Thomas Hayden"/>
        <s v="Tina Foster"/>
        <s v="Ryan Lopez"/>
        <s v="Kevin Johnson"/>
        <s v="Brandon Potter"/>
        <s v="Zachary Gray"/>
        <s v="Kimberly Shelton"/>
        <s v="Rebekah Jones"/>
        <s v="Steven Sanders"/>
        <s v="Renee Taylor"/>
        <s v="Kristen Dodson"/>
        <s v="Carol King"/>
      </sharedItems>
    </cacheField>
    <cacheField name="Region" numFmtId="0">
      <sharedItems count="5">
        <s v="North America"/>
        <s v="South America"/>
        <s v="Europe"/>
        <s v="Australia"/>
        <s v="Asia"/>
      </sharedItems>
    </cacheField>
    <cacheField name="Date of Sale" numFmtId="164">
      <sharedItems containsSemiMixedTypes="0" containsNonDate="0" containsDate="1" containsString="0" minDate="2025-01-05T00:00:00" maxDate="2025-11-24T00:00:00" count="89">
        <d v="2025-04-11T00:00:00"/>
        <d v="2025-01-20T00:00:00"/>
        <d v="2025-10-15T00:00:00"/>
        <d v="2025-11-23T00:00:00"/>
        <d v="2025-04-01T00:00:00"/>
        <d v="2025-10-27T00:00:00"/>
        <d v="2025-07-12T00:00:00"/>
        <d v="2025-04-03T00:00:00"/>
        <d v="2025-11-22T00:00:00"/>
        <d v="2025-09-14T00:00:00"/>
        <d v="2025-04-08T00:00:00"/>
        <d v="2025-07-11T00:00:00"/>
        <d v="2025-07-23T00:00:00"/>
        <d v="2025-11-03T00:00:00"/>
        <d v="2025-05-13T00:00:00"/>
        <d v="2025-10-04T00:00:00"/>
        <d v="2025-04-09T00:00:00"/>
        <d v="2025-11-10T00:00:00"/>
        <d v="2025-04-14T00:00:00"/>
        <d v="2025-03-01T00:00:00"/>
        <d v="2025-01-29T00:00:00"/>
        <d v="2025-08-08T00:00:00"/>
        <d v="2025-08-24T00:00:00"/>
        <d v="2025-10-16T00:00:00"/>
        <d v="2025-01-05T00:00:00"/>
        <d v="2025-07-15T00:00:00"/>
        <d v="2025-03-05T00:00:00"/>
        <d v="2025-06-15T00:00:00"/>
        <d v="2025-06-06T00:00:00"/>
        <d v="2025-05-24T00:00:00"/>
        <d v="2025-11-01T00:00:00"/>
        <d v="2025-03-02T00:00:00"/>
        <d v="2025-07-28T00:00:00"/>
        <d v="2025-08-12T00:00:00"/>
        <d v="2025-11-19T00:00:00"/>
        <d v="2025-01-19T00:00:00"/>
        <d v="2025-09-01T00:00:00"/>
        <d v="2025-01-14T00:00:00"/>
        <d v="2025-10-20T00:00:00"/>
        <d v="2025-09-20T00:00:00"/>
        <d v="2025-07-10T00:00:00"/>
        <d v="2025-06-17T00:00:00"/>
        <d v="2025-10-21T00:00:00"/>
        <d v="2025-05-26T00:00:00"/>
        <d v="2025-06-09T00:00:00"/>
        <d v="2025-06-10T00:00:00"/>
        <d v="2025-07-05T00:00:00"/>
        <d v="2025-07-13T00:00:00"/>
        <d v="2025-09-12T00:00:00"/>
        <d v="2025-02-20T00:00:00"/>
        <d v="2025-11-17T00:00:00"/>
        <d v="2025-08-07T00:00:00"/>
        <d v="2025-03-08T00:00:00"/>
        <d v="2025-07-25T00:00:00"/>
        <d v="2025-02-03T00:00:00"/>
        <d v="2025-03-19T00:00:00"/>
        <d v="2025-06-24T00:00:00"/>
        <d v="2025-09-04T00:00:00"/>
        <d v="2025-03-25T00:00:00"/>
        <d v="2025-03-20T00:00:00"/>
        <d v="2025-10-31T00:00:00"/>
        <d v="2025-02-10T00:00:00"/>
        <d v="2025-02-23T00:00:00"/>
        <d v="2025-01-23T00:00:00"/>
        <d v="2025-01-12T00:00:00"/>
        <d v="2025-11-13T00:00:00"/>
        <d v="2025-04-24T00:00:00"/>
        <d v="2025-01-31T00:00:00"/>
        <d v="2025-03-07T00:00:00"/>
        <d v="2025-11-09T00:00:00"/>
        <d v="2025-03-11T00:00:00"/>
        <d v="2025-02-07T00:00:00"/>
        <d v="2025-09-24T00:00:00"/>
        <d v="2025-09-06T00:00:00"/>
        <d v="2025-05-27T00:00:00"/>
        <d v="2025-10-28T00:00:00"/>
        <d v="2025-01-24T00:00:00"/>
        <d v="2025-02-02T00:00:00"/>
        <d v="2025-02-12T00:00:00"/>
        <d v="2025-07-09T00:00:00"/>
        <d v="2025-07-31T00:00:00"/>
        <d v="2025-04-12T00:00:00"/>
        <d v="2025-03-28T00:00:00"/>
        <d v="2025-08-15T00:00:00"/>
        <d v="2025-08-03T00:00:00"/>
        <d v="2025-07-19T00:00:00"/>
        <d v="2025-10-12T00:00:00"/>
        <d v="2025-09-11T00:00:00"/>
        <d v="2025-05-10T00:00:00"/>
      </sharedItems>
      <fieldGroup par="11"/>
    </cacheField>
    <cacheField name="Payment Method" numFmtId="0">
      <sharedItems/>
    </cacheField>
    <cacheField name="Days (Date of Sale)" numFmtId="0" databaseField="0">
      <fieldGroup base="8">
        <rangePr groupBy="days" startDate="2025-01-05T00:00:00" endDate="2025-11-24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4-11-2025"/>
        </groupItems>
      </fieldGroup>
    </cacheField>
    <cacheField name="Months (Date of Sale)" numFmtId="0" databaseField="0">
      <fieldGroup base="8">
        <rangePr groupBy="months" startDate="2025-01-05T00:00:00" endDate="2025-11-24T00:00:00"/>
        <groupItems count="14">
          <s v="&lt;05-01-2025"/>
          <s v="Jan"/>
          <s v="Feb"/>
          <s v="Mar"/>
          <s v="Apr"/>
          <s v="May"/>
          <s v="Jun"/>
          <s v="Jul"/>
          <s v="Aug"/>
          <s v="Sep"/>
          <s v="Oct"/>
          <s v="Nov"/>
          <s v="Dec"/>
          <s v="&gt;24-11-2025"/>
        </groupItems>
      </fieldGroup>
    </cacheField>
  </cacheFields>
  <extLst>
    <ext xmlns:x14="http://schemas.microsoft.com/office/spreadsheetml/2009/9/main" uri="{725AE2AE-9491-48be-B2B4-4EB974FC3084}">
      <x14:pivotCacheDefinition pivotCacheId="1906577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5b08ea87-48a3-4371-8c3a-28003449a12a"/>
    <x v="0"/>
    <x v="0"/>
    <n v="53"/>
    <n v="2850.22"/>
    <n v="28.59"/>
    <x v="0"/>
    <x v="0"/>
    <x v="0"/>
    <s v="Bank Transfer"/>
  </r>
  <r>
    <s v="087ce1b7-002d-4d9a-aee4-2b640cdd969b"/>
    <x v="1"/>
    <x v="1"/>
    <n v="43"/>
    <n v="2922.03"/>
    <n v="10.17"/>
    <x v="1"/>
    <x v="1"/>
    <x v="1"/>
    <s v="PayPal"/>
  </r>
  <r>
    <s v="9336fcd0-aa2f-4e77-98e9-a78a9d89493e"/>
    <x v="2"/>
    <x v="1"/>
    <n v="11"/>
    <n v="1198.3499999999999"/>
    <n v="41.1"/>
    <x v="2"/>
    <x v="2"/>
    <x v="2"/>
    <s v="PayPal"/>
  </r>
  <r>
    <s v="2a5f5649-a82b-492d-8270-f822d6aae969"/>
    <x v="3"/>
    <x v="2"/>
    <n v="70"/>
    <n v="3874.92"/>
    <n v="17.87"/>
    <x v="3"/>
    <x v="2"/>
    <x v="3"/>
    <s v="PayPal"/>
  </r>
  <r>
    <s v="c87f2648-1baf-45ac-aebd-368f28d38ed6"/>
    <x v="1"/>
    <x v="0"/>
    <n v="40"/>
    <n v="1430.74"/>
    <n v="48.83"/>
    <x v="4"/>
    <x v="1"/>
    <x v="4"/>
    <s v="Cash"/>
  </r>
  <r>
    <s v="a07aed29-c2a2-4501-9aee-dc4b2a214749"/>
    <x v="4"/>
    <x v="0"/>
    <n v="25"/>
    <n v="3684.31"/>
    <n v="24.26"/>
    <x v="5"/>
    <x v="3"/>
    <x v="5"/>
    <s v="Cash"/>
  </r>
  <r>
    <s v="9217d712-a073-4141-ae7a-f658e9995392"/>
    <x v="4"/>
    <x v="2"/>
    <n v="12"/>
    <n v="3853.65"/>
    <n v="3.33"/>
    <x v="6"/>
    <x v="4"/>
    <x v="6"/>
    <s v="PayPal"/>
  </r>
  <r>
    <s v="cdddda01-70b7-4b43-8abb-f7b6ace9e665"/>
    <x v="3"/>
    <x v="1"/>
    <n v="80"/>
    <n v="1192.3599999999999"/>
    <n v="12"/>
    <x v="7"/>
    <x v="3"/>
    <x v="7"/>
    <s v="Cash"/>
  </r>
  <r>
    <s v="24423b3c-47c3-4485-8102-f835a5b0a5b5"/>
    <x v="4"/>
    <x v="1"/>
    <n v="7"/>
    <n v="2377.94"/>
    <n v="37.78"/>
    <x v="8"/>
    <x v="3"/>
    <x v="8"/>
    <s v="PayPal"/>
  </r>
  <r>
    <s v="28158079-5cf9-49fc-aae7-2ded097846d6"/>
    <x v="3"/>
    <x v="0"/>
    <n v="65"/>
    <n v="1245.55"/>
    <n v="37.79"/>
    <x v="9"/>
    <x v="2"/>
    <x v="9"/>
    <s v="PayPal"/>
  </r>
  <r>
    <s v="1b8ca99f-f810-4693-a052-472d2b04b82b"/>
    <x v="2"/>
    <x v="2"/>
    <n v="15"/>
    <n v="4132.12"/>
    <n v="27.6"/>
    <x v="10"/>
    <x v="2"/>
    <x v="10"/>
    <s v="PayPal"/>
  </r>
  <r>
    <s v="d1058f12-da41-4b9e-800d-f9c9bc5e0457"/>
    <x v="1"/>
    <x v="0"/>
    <n v="84"/>
    <n v="417.95"/>
    <n v="32.22"/>
    <x v="11"/>
    <x v="3"/>
    <x v="11"/>
    <s v="PayPal"/>
  </r>
  <r>
    <s v="8a2513a9-a75d-42ff-8197-bc679cc0f227"/>
    <x v="0"/>
    <x v="2"/>
    <n v="6"/>
    <n v="2302.34"/>
    <n v="24.3"/>
    <x v="12"/>
    <x v="1"/>
    <x v="12"/>
    <s v="Bank Transfer"/>
  </r>
  <r>
    <s v="f22e469a-a00a-41ee-b6be-d854d6f73bfd"/>
    <x v="0"/>
    <x v="2"/>
    <n v="12"/>
    <n v="598.9"/>
    <n v="11.56"/>
    <x v="13"/>
    <x v="0"/>
    <x v="13"/>
    <s v="Cash"/>
  </r>
  <r>
    <s v="661ad567-f5d0-46a7-84e3-80da711fb043"/>
    <x v="2"/>
    <x v="2"/>
    <n v="50"/>
    <n v="4738.66"/>
    <n v="7.08"/>
    <x v="14"/>
    <x v="1"/>
    <x v="14"/>
    <s v="Bank Transfer"/>
  </r>
  <r>
    <s v="36ac5332-c515-4a9d-8d57-186cc1511a9a"/>
    <x v="0"/>
    <x v="1"/>
    <n v="14"/>
    <n v="2324.4699999999998"/>
    <n v="37.520000000000003"/>
    <x v="15"/>
    <x v="4"/>
    <x v="15"/>
    <s v="Credit Card"/>
  </r>
  <r>
    <s v="c148d547-ebed-4179-92e3-682958d17816"/>
    <x v="2"/>
    <x v="0"/>
    <n v="81"/>
    <n v="4982.84"/>
    <n v="23.82"/>
    <x v="16"/>
    <x v="3"/>
    <x v="16"/>
    <s v="Cash"/>
  </r>
  <r>
    <s v="1ecaefd3-abda-49c4-b626-128b4ea40c04"/>
    <x v="4"/>
    <x v="1"/>
    <n v="51"/>
    <n v="4257.32"/>
    <n v="36.61"/>
    <x v="17"/>
    <x v="3"/>
    <x v="17"/>
    <s v="Bank Transfer"/>
  </r>
  <r>
    <s v="c57039a1-5734-4b46-b157-e27272636480"/>
    <x v="1"/>
    <x v="1"/>
    <n v="43"/>
    <n v="421.91"/>
    <n v="3.19"/>
    <x v="18"/>
    <x v="0"/>
    <x v="18"/>
    <s v="Credit Card"/>
  </r>
  <r>
    <s v="f71aec0f-c4b8-4958-a672-a5f9967f6e43"/>
    <x v="0"/>
    <x v="2"/>
    <n v="87"/>
    <n v="4359.1099999999997"/>
    <n v="28.36"/>
    <x v="19"/>
    <x v="1"/>
    <x v="19"/>
    <s v="Cash"/>
  </r>
  <r>
    <s v="6339e783-cb09-435b-b2c1-ac12882fe796"/>
    <x v="0"/>
    <x v="0"/>
    <n v="9"/>
    <n v="1804.13"/>
    <n v="3.18"/>
    <x v="20"/>
    <x v="3"/>
    <x v="20"/>
    <s v="PayPal"/>
  </r>
  <r>
    <s v="0c9048e0-dc5c-4b6a-8f59-7e0076f6994a"/>
    <x v="3"/>
    <x v="2"/>
    <n v="49"/>
    <n v="2640.81"/>
    <n v="44.24"/>
    <x v="21"/>
    <x v="4"/>
    <x v="2"/>
    <s v="Credit Card"/>
  </r>
  <r>
    <s v="45d144cf-ea41-41cb-82ef-be55d5297dc8"/>
    <x v="1"/>
    <x v="1"/>
    <n v="61"/>
    <n v="577.48"/>
    <n v="41.05"/>
    <x v="22"/>
    <x v="0"/>
    <x v="21"/>
    <s v="Cash"/>
  </r>
  <r>
    <s v="f632f0b8-ab08-431a-97fa-e2a45d174774"/>
    <x v="1"/>
    <x v="0"/>
    <n v="33"/>
    <n v="684.89"/>
    <n v="24.65"/>
    <x v="23"/>
    <x v="4"/>
    <x v="22"/>
    <s v="Bank Transfer"/>
  </r>
  <r>
    <s v="05eeb116-0fe3-4303-925b-700fb54a8efd"/>
    <x v="4"/>
    <x v="2"/>
    <n v="10"/>
    <n v="4643.32"/>
    <n v="12.25"/>
    <x v="24"/>
    <x v="1"/>
    <x v="23"/>
    <s v="Credit Card"/>
  </r>
  <r>
    <s v="5648eaad-3a9a-4558-9425-1b9f7836d240"/>
    <x v="2"/>
    <x v="0"/>
    <n v="77"/>
    <n v="2888.39"/>
    <n v="9.7799999999999994"/>
    <x v="25"/>
    <x v="1"/>
    <x v="24"/>
    <s v="Bank Transfer"/>
  </r>
  <r>
    <s v="2424047d-da1a-440d-b3c0-c444dd18a0e2"/>
    <x v="3"/>
    <x v="2"/>
    <n v="93"/>
    <n v="2792.21"/>
    <n v="19.309999999999999"/>
    <x v="26"/>
    <x v="4"/>
    <x v="25"/>
    <s v="Cash"/>
  </r>
  <r>
    <s v="0d4f4594-f71f-4f83-87d0-2327ebbee2f2"/>
    <x v="1"/>
    <x v="0"/>
    <n v="48"/>
    <n v="4522.1099999999997"/>
    <n v="34.630000000000003"/>
    <x v="27"/>
    <x v="1"/>
    <x v="26"/>
    <s v="PayPal"/>
  </r>
  <r>
    <s v="d7e03cc4-689a-4bdb-9c22-5a7ffb8005a7"/>
    <x v="3"/>
    <x v="0"/>
    <n v="97"/>
    <n v="274.93"/>
    <n v="42.54"/>
    <x v="28"/>
    <x v="2"/>
    <x v="27"/>
    <s v="Bank Transfer"/>
  </r>
  <r>
    <s v="961d7def-76c6-4bb2-8b0b-be0ac068dc62"/>
    <x v="1"/>
    <x v="1"/>
    <n v="51"/>
    <n v="1201.8599999999999"/>
    <n v="14.35"/>
    <x v="29"/>
    <x v="2"/>
    <x v="28"/>
    <s v="PayPal"/>
  </r>
  <r>
    <s v="1a768ab1-0c89-424b-8238-668f061ead58"/>
    <x v="3"/>
    <x v="2"/>
    <n v="53"/>
    <n v="542.62"/>
    <n v="17.72"/>
    <x v="30"/>
    <x v="0"/>
    <x v="29"/>
    <s v="Credit Card"/>
  </r>
  <r>
    <s v="939a4e81-cf3e-4624-bc44-1ea2fed66add"/>
    <x v="3"/>
    <x v="2"/>
    <n v="25"/>
    <n v="1411.93"/>
    <n v="26.85"/>
    <x v="31"/>
    <x v="1"/>
    <x v="30"/>
    <s v="Bank Transfer"/>
  </r>
  <r>
    <s v="5ff223b1-0466-4787-9308-50bf6cd7021e"/>
    <x v="2"/>
    <x v="0"/>
    <n v="27"/>
    <n v="1957.47"/>
    <n v="33.56"/>
    <x v="32"/>
    <x v="2"/>
    <x v="31"/>
    <s v="Bank Transfer"/>
  </r>
  <r>
    <s v="b0ab0e1a-b681-4d57-80b4-4d39c0a03834"/>
    <x v="3"/>
    <x v="1"/>
    <n v="32"/>
    <n v="2308.67"/>
    <n v="43.55"/>
    <x v="33"/>
    <x v="4"/>
    <x v="32"/>
    <s v="PayPal"/>
  </r>
  <r>
    <s v="4ad49479-363c-4c62-8070-e118e0c5c021"/>
    <x v="1"/>
    <x v="1"/>
    <n v="81"/>
    <n v="536.64"/>
    <n v="44.92"/>
    <x v="34"/>
    <x v="2"/>
    <x v="33"/>
    <s v="Bank Transfer"/>
  </r>
  <r>
    <s v="cbcb487c-9269-4ab6-a40d-b6b6b05e5f24"/>
    <x v="3"/>
    <x v="1"/>
    <n v="83"/>
    <n v="704.78"/>
    <n v="5.3"/>
    <x v="35"/>
    <x v="4"/>
    <x v="34"/>
    <s v="Credit Card"/>
  </r>
  <r>
    <s v="b0beb874-2d0f-4300-a17b-980d443063b7"/>
    <x v="3"/>
    <x v="0"/>
    <n v="88"/>
    <n v="1346.64"/>
    <n v="26.97"/>
    <x v="36"/>
    <x v="1"/>
    <x v="35"/>
    <s v="Credit Card"/>
  </r>
  <r>
    <s v="b89618f8-2da4-4bc8-91e5-eecc1e5fd811"/>
    <x v="3"/>
    <x v="2"/>
    <n v="29"/>
    <n v="842.36"/>
    <n v="44.81"/>
    <x v="37"/>
    <x v="2"/>
    <x v="36"/>
    <s v="Credit Card"/>
  </r>
  <r>
    <s v="40eddc0d-8cb6-48a1-9ba0-9dd00e90ef0b"/>
    <x v="0"/>
    <x v="0"/>
    <n v="13"/>
    <n v="535.12"/>
    <n v="29.18"/>
    <x v="38"/>
    <x v="3"/>
    <x v="37"/>
    <s v="Cash"/>
  </r>
  <r>
    <s v="828c0857-3ed9-43d7-8ffe-08affe971005"/>
    <x v="0"/>
    <x v="1"/>
    <n v="90"/>
    <n v="4475.0200000000004"/>
    <n v="33.799999999999997"/>
    <x v="39"/>
    <x v="0"/>
    <x v="38"/>
    <s v="Credit Card"/>
  </r>
  <r>
    <s v="e8206bb6-e9a5-46bd-8b95-58d1c4531283"/>
    <x v="4"/>
    <x v="0"/>
    <n v="38"/>
    <n v="3594.72"/>
    <n v="26.1"/>
    <x v="40"/>
    <x v="2"/>
    <x v="39"/>
    <s v="Credit Card"/>
  </r>
  <r>
    <s v="35d93e66-d987-4345-b070-40e816eafce9"/>
    <x v="3"/>
    <x v="1"/>
    <n v="40"/>
    <n v="2841.24"/>
    <n v="37.57"/>
    <x v="41"/>
    <x v="2"/>
    <x v="40"/>
    <s v="Bank Transfer"/>
  </r>
  <r>
    <s v="8937f676-e9a2-4c47-985f-4cfdbfd4a371"/>
    <x v="1"/>
    <x v="1"/>
    <n v="22"/>
    <n v="901.39"/>
    <n v="18.739999999999998"/>
    <x v="42"/>
    <x v="1"/>
    <x v="41"/>
    <s v="Credit Card"/>
  </r>
  <r>
    <s v="24755a70-2700-480a-a2ac-e93cb0c9e9f6"/>
    <x v="4"/>
    <x v="0"/>
    <n v="68"/>
    <n v="2585.39"/>
    <n v="31.93"/>
    <x v="43"/>
    <x v="3"/>
    <x v="42"/>
    <s v="Bank Transfer"/>
  </r>
  <r>
    <s v="4271cb22-e52f-4c84-9e2d-02d07802d527"/>
    <x v="0"/>
    <x v="1"/>
    <n v="41"/>
    <n v="461.71"/>
    <n v="16.010000000000002"/>
    <x v="44"/>
    <x v="0"/>
    <x v="43"/>
    <s v="Credit Card"/>
  </r>
  <r>
    <s v="46395c1d-8785-4ab5-8776-3e82a6267938"/>
    <x v="1"/>
    <x v="0"/>
    <n v="41"/>
    <n v="2422.67"/>
    <n v="12.76"/>
    <x v="45"/>
    <x v="4"/>
    <x v="44"/>
    <s v="Cash"/>
  </r>
  <r>
    <s v="85727891-ddba-4ec6-ab78-a0587fa7c2bb"/>
    <x v="0"/>
    <x v="2"/>
    <n v="11"/>
    <n v="3711.77"/>
    <n v="14.83"/>
    <x v="46"/>
    <x v="4"/>
    <x v="45"/>
    <s v="Cash"/>
  </r>
  <r>
    <s v="1e9404ec-bb75-4f8e-99e5-58e45b59dd69"/>
    <x v="2"/>
    <x v="2"/>
    <n v="72"/>
    <n v="4146.33"/>
    <n v="8.9600000000000009"/>
    <x v="47"/>
    <x v="0"/>
    <x v="46"/>
    <s v="Cash"/>
  </r>
  <r>
    <s v="ca1bb94f-2c88-49b9-aaee-21d5e8c05331"/>
    <x v="2"/>
    <x v="0"/>
    <n v="91"/>
    <n v="1110.3800000000001"/>
    <n v="28.44"/>
    <x v="48"/>
    <x v="2"/>
    <x v="47"/>
    <s v="Credit Card"/>
  </r>
  <r>
    <s v="1c782054-c27b-45db-a843-0341651263ef"/>
    <x v="2"/>
    <x v="0"/>
    <n v="18"/>
    <n v="2080.89"/>
    <n v="27.91"/>
    <x v="49"/>
    <x v="3"/>
    <x v="34"/>
    <s v="Credit Card"/>
  </r>
  <r>
    <s v="171edb70-ed96-4538-bfce-196d7b01044a"/>
    <x v="3"/>
    <x v="2"/>
    <n v="42"/>
    <n v="4699.6099999999997"/>
    <n v="33.700000000000003"/>
    <x v="50"/>
    <x v="3"/>
    <x v="48"/>
    <s v="Bank Transfer"/>
  </r>
  <r>
    <s v="a3b6029d-8abd-4bf2-9adb-99ef7185f073"/>
    <x v="0"/>
    <x v="2"/>
    <n v="39"/>
    <n v="3954.71"/>
    <n v="20.29"/>
    <x v="51"/>
    <x v="3"/>
    <x v="36"/>
    <s v="Credit Card"/>
  </r>
  <r>
    <s v="e7285ed8-0838-42e6-89dc-7ce03c1b2d70"/>
    <x v="4"/>
    <x v="1"/>
    <n v="3"/>
    <n v="1954.02"/>
    <n v="39.83"/>
    <x v="52"/>
    <x v="0"/>
    <x v="49"/>
    <s v="Credit Card"/>
  </r>
  <r>
    <s v="460d43d9-90d5-483c-b2df-16a07846e6c1"/>
    <x v="4"/>
    <x v="1"/>
    <n v="15"/>
    <n v="4352.88"/>
    <n v="35.57"/>
    <x v="53"/>
    <x v="4"/>
    <x v="50"/>
    <s v="Credit Card"/>
  </r>
  <r>
    <s v="f928a10b-1d62-4e1c-9599-565c7c31d9f7"/>
    <x v="4"/>
    <x v="1"/>
    <n v="37"/>
    <n v="467.3"/>
    <n v="19.61"/>
    <x v="54"/>
    <x v="2"/>
    <x v="51"/>
    <s v="Cash"/>
  </r>
  <r>
    <s v="78558bed-6604-4bf6-b532-904a9124eabc"/>
    <x v="2"/>
    <x v="2"/>
    <n v="24"/>
    <n v="2963.22"/>
    <n v="17.52"/>
    <x v="55"/>
    <x v="2"/>
    <x v="52"/>
    <s v="Bank Transfer"/>
  </r>
  <r>
    <s v="c5efe080-e9cf-48c7-9649-0a44ea077fdf"/>
    <x v="0"/>
    <x v="1"/>
    <n v="55"/>
    <n v="1898.73"/>
    <n v="44.33"/>
    <x v="56"/>
    <x v="4"/>
    <x v="53"/>
    <s v="Credit Card"/>
  </r>
  <r>
    <s v="ba1a0b82-7b59-4d0d-ba4c-69d66970be3f"/>
    <x v="4"/>
    <x v="0"/>
    <n v="17"/>
    <n v="2591.6999999999998"/>
    <n v="18.16"/>
    <x v="57"/>
    <x v="1"/>
    <x v="54"/>
    <s v="PayPal"/>
  </r>
  <r>
    <s v="092a5309-7cd7-4b6a-9165-c24aeb208d93"/>
    <x v="3"/>
    <x v="0"/>
    <n v="96"/>
    <n v="1235.46"/>
    <n v="37.86"/>
    <x v="58"/>
    <x v="1"/>
    <x v="55"/>
    <s v="Bank Transfer"/>
  </r>
  <r>
    <s v="9c6fb47d-d3a6-45ed-bb18-69f28b04c1ce"/>
    <x v="3"/>
    <x v="2"/>
    <n v="14"/>
    <n v="825.07"/>
    <n v="20.87"/>
    <x v="59"/>
    <x v="4"/>
    <x v="56"/>
    <s v="Cash"/>
  </r>
  <r>
    <s v="df513af4-ab3c-4304-a141-3a9b3890e43a"/>
    <x v="4"/>
    <x v="0"/>
    <n v="90"/>
    <n v="100.6"/>
    <n v="26.78"/>
    <x v="60"/>
    <x v="4"/>
    <x v="57"/>
    <s v="Credit Card"/>
  </r>
  <r>
    <s v="72b200c4-cd9e-4836-90fc-b42fa9344713"/>
    <x v="4"/>
    <x v="1"/>
    <n v="18"/>
    <n v="3579.85"/>
    <n v="19.37"/>
    <x v="61"/>
    <x v="2"/>
    <x v="14"/>
    <s v="Bank Transfer"/>
  </r>
  <r>
    <s v="1f7f7ff0-7866-410d-97ea-c4107403919a"/>
    <x v="2"/>
    <x v="2"/>
    <n v="48"/>
    <n v="438.11"/>
    <n v="38.58"/>
    <x v="62"/>
    <x v="0"/>
    <x v="58"/>
    <s v="PayPal"/>
  </r>
  <r>
    <s v="1474bcb6-b610-4baa-804b-03074e856176"/>
    <x v="0"/>
    <x v="1"/>
    <n v="60"/>
    <n v="3438.21"/>
    <n v="31.32"/>
    <x v="63"/>
    <x v="2"/>
    <x v="59"/>
    <s v="PayPal"/>
  </r>
  <r>
    <s v="11bb0e60-74b4-490a-a73d-161bae23b68b"/>
    <x v="1"/>
    <x v="2"/>
    <n v="18"/>
    <n v="833.08"/>
    <n v="24.94"/>
    <x v="64"/>
    <x v="4"/>
    <x v="60"/>
    <s v="PayPal"/>
  </r>
  <r>
    <s v="7d2d9fcb-e998-466e-b4ca-6617dda3a954"/>
    <x v="4"/>
    <x v="2"/>
    <n v="84"/>
    <n v="2642.73"/>
    <n v="38.090000000000003"/>
    <x v="65"/>
    <x v="1"/>
    <x v="61"/>
    <s v="PayPal"/>
  </r>
  <r>
    <s v="84220a6d-cdfb-48bd-b566-70ea9fa04579"/>
    <x v="0"/>
    <x v="1"/>
    <n v="77"/>
    <n v="3238.84"/>
    <n v="25.52"/>
    <x v="66"/>
    <x v="0"/>
    <x v="62"/>
    <s v="PayPal"/>
  </r>
  <r>
    <s v="6facee1b-8c38-40ee-a560-36be078b32b8"/>
    <x v="2"/>
    <x v="0"/>
    <n v="5"/>
    <n v="1944.37"/>
    <n v="25.84"/>
    <x v="67"/>
    <x v="0"/>
    <x v="63"/>
    <s v="Credit Card"/>
  </r>
  <r>
    <s v="de97ffa7-7fc3-46d3-98c1-873b630d3066"/>
    <x v="1"/>
    <x v="2"/>
    <n v="18"/>
    <n v="4145.9799999999996"/>
    <n v="23.38"/>
    <x v="68"/>
    <x v="0"/>
    <x v="60"/>
    <s v="PayPal"/>
  </r>
  <r>
    <s v="59d292fe-9f75-4580-a4f7-1b710fe58f5c"/>
    <x v="2"/>
    <x v="2"/>
    <n v="70"/>
    <n v="2409.66"/>
    <n v="27.64"/>
    <x v="69"/>
    <x v="3"/>
    <x v="64"/>
    <s v="Bank Transfer"/>
  </r>
  <r>
    <s v="bec9337f-6485-4624-8424-8592d2ab9869"/>
    <x v="3"/>
    <x v="0"/>
    <n v="36"/>
    <n v="432.66"/>
    <n v="22.81"/>
    <x v="70"/>
    <x v="4"/>
    <x v="65"/>
    <s v="Bank Transfer"/>
  </r>
  <r>
    <s v="35595446-9468-423a-a119-5ee09317fea5"/>
    <x v="2"/>
    <x v="2"/>
    <n v="74"/>
    <n v="3254.48"/>
    <n v="21.5"/>
    <x v="71"/>
    <x v="2"/>
    <x v="9"/>
    <s v="Credit Card"/>
  </r>
  <r>
    <s v="c51d126a-6ed5-4e66-a7a2-1b5743359fd1"/>
    <x v="1"/>
    <x v="1"/>
    <n v="91"/>
    <n v="1675.4"/>
    <n v="19.670000000000002"/>
    <x v="72"/>
    <x v="3"/>
    <x v="66"/>
    <s v="PayPal"/>
  </r>
  <r>
    <s v="9816baee-17b4-4006-97e7-ac045960dc04"/>
    <x v="2"/>
    <x v="1"/>
    <n v="76"/>
    <n v="3105.08"/>
    <n v="44.95"/>
    <x v="73"/>
    <x v="2"/>
    <x v="67"/>
    <s v="PayPal"/>
  </r>
  <r>
    <s v="0acdcd0a-be70-4ffb-89ff-d2d2846a2040"/>
    <x v="1"/>
    <x v="0"/>
    <n v="16"/>
    <n v="4070.98"/>
    <n v="8.75"/>
    <x v="74"/>
    <x v="2"/>
    <x v="68"/>
    <s v="Cash"/>
  </r>
  <r>
    <s v="b95ad937-2d8a-4106-8e64-1521f61e3856"/>
    <x v="3"/>
    <x v="2"/>
    <n v="51"/>
    <n v="2369.46"/>
    <n v="15.93"/>
    <x v="75"/>
    <x v="0"/>
    <x v="69"/>
    <s v="Credit Card"/>
  </r>
  <r>
    <s v="ec3d3fa6-1c42-4551-a417-bb2901687555"/>
    <x v="2"/>
    <x v="0"/>
    <n v="87"/>
    <n v="2869.86"/>
    <n v="30.08"/>
    <x v="76"/>
    <x v="4"/>
    <x v="70"/>
    <s v="Cash"/>
  </r>
  <r>
    <s v="e8d43063-1abc-4f04-97d4-72f2628ab0a8"/>
    <x v="3"/>
    <x v="2"/>
    <n v="33"/>
    <n v="4952.46"/>
    <n v="36.380000000000003"/>
    <x v="77"/>
    <x v="3"/>
    <x v="71"/>
    <s v="PayPal"/>
  </r>
  <r>
    <s v="bc630858-69fb-4d89-81bb-eaf6133b8c0f"/>
    <x v="4"/>
    <x v="1"/>
    <n v="2"/>
    <n v="2505.46"/>
    <n v="33.11"/>
    <x v="78"/>
    <x v="4"/>
    <x v="7"/>
    <s v="Bank Transfer"/>
  </r>
  <r>
    <s v="d6cbc42a-6f03-4ae4-98c2-7d7b32d9c610"/>
    <x v="0"/>
    <x v="2"/>
    <n v="90"/>
    <n v="4815.53"/>
    <n v="48.03"/>
    <x v="79"/>
    <x v="3"/>
    <x v="72"/>
    <s v="Bank Transfer"/>
  </r>
  <r>
    <s v="18ea7170-91a6-43b9-b76f-279ffb4e257f"/>
    <x v="2"/>
    <x v="1"/>
    <n v="5"/>
    <n v="4556.08"/>
    <n v="27.97"/>
    <x v="80"/>
    <x v="1"/>
    <x v="73"/>
    <s v="Credit Card"/>
  </r>
  <r>
    <s v="f5a0084a-6c53-403b-a528-3b01bc612874"/>
    <x v="1"/>
    <x v="0"/>
    <n v="36"/>
    <n v="211.16"/>
    <n v="38.42"/>
    <x v="81"/>
    <x v="2"/>
    <x v="61"/>
    <s v="PayPal"/>
  </r>
  <r>
    <s v="afc10b8a-a34f-4a52-9d84-1f78b7de3820"/>
    <x v="1"/>
    <x v="2"/>
    <n v="93"/>
    <n v="979.27"/>
    <n v="24.78"/>
    <x v="82"/>
    <x v="3"/>
    <x v="55"/>
    <s v="Bank Transfer"/>
  </r>
  <r>
    <s v="e00bc646-88c6-4f81-84ae-7ff3579e8002"/>
    <x v="0"/>
    <x v="0"/>
    <n v="77"/>
    <n v="4375.04"/>
    <n v="40.020000000000003"/>
    <x v="83"/>
    <x v="1"/>
    <x v="74"/>
    <s v="Cash"/>
  </r>
  <r>
    <s v="48404ed4-b707-4808-86be-b0e0b568d9f2"/>
    <x v="2"/>
    <x v="0"/>
    <n v="10"/>
    <n v="3289.06"/>
    <n v="21.69"/>
    <x v="84"/>
    <x v="4"/>
    <x v="75"/>
    <s v="Cash"/>
  </r>
  <r>
    <s v="4fa4b793-7ac2-4d68-b764-37fe0bc5efd1"/>
    <x v="4"/>
    <x v="0"/>
    <n v="71"/>
    <n v="4369.16"/>
    <n v="11.18"/>
    <x v="85"/>
    <x v="0"/>
    <x v="76"/>
    <s v="PayPal"/>
  </r>
  <r>
    <s v="2f2bec6a-b32e-4dc8-a0ac-8d40c1ec43b9"/>
    <x v="4"/>
    <x v="2"/>
    <n v="34"/>
    <n v="4256.32"/>
    <n v="31.97"/>
    <x v="86"/>
    <x v="2"/>
    <x v="77"/>
    <s v="PayPal"/>
  </r>
  <r>
    <s v="0de3c18d-e946-47b6-ab99-afe5d85aa26d"/>
    <x v="2"/>
    <x v="1"/>
    <n v="83"/>
    <n v="1475.08"/>
    <n v="45.05"/>
    <x v="87"/>
    <x v="0"/>
    <x v="78"/>
    <s v="Cash"/>
  </r>
  <r>
    <s v="88ca4ab4-fb6d-4bf6-9720-de000bd619ba"/>
    <x v="4"/>
    <x v="1"/>
    <n v="7"/>
    <n v="4029.49"/>
    <n v="34.229999999999997"/>
    <x v="88"/>
    <x v="1"/>
    <x v="79"/>
    <s v="Credit Card"/>
  </r>
  <r>
    <s v="f9c3f750-7644-4ec7-b51c-1dfaa7a909e4"/>
    <x v="2"/>
    <x v="0"/>
    <n v="44"/>
    <n v="3609.92"/>
    <n v="24.88"/>
    <x v="89"/>
    <x v="2"/>
    <x v="80"/>
    <s v="PayPal"/>
  </r>
  <r>
    <s v="4176d562-80a8-4680-b9f9-7209d24fd196"/>
    <x v="0"/>
    <x v="1"/>
    <n v="73"/>
    <n v="2953.49"/>
    <n v="16.97"/>
    <x v="90"/>
    <x v="0"/>
    <x v="25"/>
    <s v="Credit Card"/>
  </r>
  <r>
    <s v="4200294e-94ad-4162-9d49-a49a8951cd60"/>
    <x v="2"/>
    <x v="2"/>
    <n v="22"/>
    <n v="4181.6400000000003"/>
    <n v="14.07"/>
    <x v="91"/>
    <x v="0"/>
    <x v="81"/>
    <s v="Bank Transfer"/>
  </r>
  <r>
    <s v="e9a8fad7-40bc-4c75-b539-55558481b7dd"/>
    <x v="3"/>
    <x v="2"/>
    <n v="81"/>
    <n v="4323.09"/>
    <n v="15.39"/>
    <x v="92"/>
    <x v="0"/>
    <x v="82"/>
    <s v="PayPal"/>
  </r>
  <r>
    <s v="2b258575-5877-423f-97dd-bd8d4c32c137"/>
    <x v="4"/>
    <x v="2"/>
    <n v="71"/>
    <n v="259.08999999999997"/>
    <n v="21.41"/>
    <x v="93"/>
    <x v="0"/>
    <x v="83"/>
    <s v="Cash"/>
  </r>
  <r>
    <s v="b911bf22-a3ad-4f5a-a3b7-9ba82ba354e4"/>
    <x v="2"/>
    <x v="2"/>
    <n v="18"/>
    <n v="581.37"/>
    <n v="38.25"/>
    <x v="94"/>
    <x v="2"/>
    <x v="84"/>
    <s v="Credit Card"/>
  </r>
  <r>
    <s v="d99a0d48-2646-4087-a603-dfd3eee22fb9"/>
    <x v="2"/>
    <x v="2"/>
    <n v="38"/>
    <n v="4178.37"/>
    <n v="47.77"/>
    <x v="95"/>
    <x v="1"/>
    <x v="85"/>
    <s v="PayPal"/>
  </r>
  <r>
    <s v="54fdfb80-df2a-4dc3-a195-1edc8832bd4b"/>
    <x v="3"/>
    <x v="2"/>
    <n v="73"/>
    <n v="3624.74"/>
    <n v="19.18"/>
    <x v="96"/>
    <x v="4"/>
    <x v="53"/>
    <s v="Bank Transfer"/>
  </r>
  <r>
    <s v="ae10ac77-3883-4992-8064-9ff9f9a4f566"/>
    <x v="3"/>
    <x v="2"/>
    <n v="20"/>
    <n v="4880.3100000000004"/>
    <n v="32.630000000000003"/>
    <x v="97"/>
    <x v="4"/>
    <x v="86"/>
    <s v="Cash"/>
  </r>
  <r>
    <s v="590f7c92-2ae3-4415-85ea-a936fc3af238"/>
    <x v="2"/>
    <x v="1"/>
    <n v="26"/>
    <n v="2909.03"/>
    <n v="5.94"/>
    <x v="98"/>
    <x v="1"/>
    <x v="87"/>
    <s v="Cash"/>
  </r>
  <r>
    <s v="829fc928-b7c4-46cc-96c6-f85cf75c8ad5"/>
    <x v="3"/>
    <x v="2"/>
    <n v="78"/>
    <n v="3212.17"/>
    <n v="11.9"/>
    <x v="99"/>
    <x v="4"/>
    <x v="88"/>
    <s v="Credit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39BD60-87E4-4520-9C72-F8ADC23FCFF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1:T28" firstHeaderRow="1" firstDataRow="1" firstDataCol="0"/>
  <pivotFields count="12">
    <pivotField showAll="0"/>
    <pivotField showAll="0">
      <items count="6">
        <item x="2"/>
        <item x="3"/>
        <item x="1"/>
        <item x="0"/>
        <item x="4"/>
        <item t="default"/>
      </items>
    </pivotField>
    <pivotField showAll="0"/>
    <pivotField showAll="0"/>
    <pivotField numFmtId="165" showAll="0"/>
    <pivotField numFmtId="2" showAll="0"/>
    <pivotField showAll="0"/>
    <pivotField showAll="0"/>
    <pivotField numFmtId="164" showAll="0">
      <items count="90">
        <item x="24"/>
        <item x="64"/>
        <item x="37"/>
        <item x="35"/>
        <item x="1"/>
        <item x="63"/>
        <item x="76"/>
        <item x="20"/>
        <item x="67"/>
        <item x="77"/>
        <item x="54"/>
        <item x="71"/>
        <item x="61"/>
        <item x="78"/>
        <item x="49"/>
        <item x="62"/>
        <item x="19"/>
        <item x="31"/>
        <item x="26"/>
        <item x="68"/>
        <item x="52"/>
        <item x="70"/>
        <item x="55"/>
        <item x="59"/>
        <item x="58"/>
        <item x="82"/>
        <item x="4"/>
        <item x="7"/>
        <item x="10"/>
        <item x="16"/>
        <item x="0"/>
        <item x="81"/>
        <item x="18"/>
        <item x="66"/>
        <item x="88"/>
        <item x="14"/>
        <item x="29"/>
        <item x="43"/>
        <item x="74"/>
        <item x="28"/>
        <item x="44"/>
        <item x="45"/>
        <item x="27"/>
        <item x="41"/>
        <item x="56"/>
        <item x="46"/>
        <item x="79"/>
        <item x="40"/>
        <item x="11"/>
        <item x="6"/>
        <item x="47"/>
        <item x="25"/>
        <item x="85"/>
        <item x="12"/>
        <item x="53"/>
        <item x="32"/>
        <item x="80"/>
        <item x="84"/>
        <item x="51"/>
        <item x="21"/>
        <item x="33"/>
        <item x="83"/>
        <item x="22"/>
        <item x="36"/>
        <item x="57"/>
        <item x="73"/>
        <item x="87"/>
        <item x="48"/>
        <item x="9"/>
        <item x="39"/>
        <item x="72"/>
        <item x="15"/>
        <item x="86"/>
        <item x="2"/>
        <item x="23"/>
        <item x="38"/>
        <item x="42"/>
        <item x="5"/>
        <item x="75"/>
        <item x="60"/>
        <item x="30"/>
        <item x="13"/>
        <item x="69"/>
        <item x="17"/>
        <item x="65"/>
        <item x="50"/>
        <item x="34"/>
        <item x="8"/>
        <item x="3"/>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3AC4D0-E65C-42DD-8A96-1CDE22403281}"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51:C56" firstHeaderRow="1" firstDataRow="1" firstDataCol="1"/>
  <pivotFields count="12">
    <pivotField showAll="0"/>
    <pivotField showAll="0">
      <items count="6">
        <item x="2"/>
        <item x="3"/>
        <item x="1"/>
        <item x="0"/>
        <item x="4"/>
        <item t="default"/>
      </items>
    </pivotField>
    <pivotField showAll="0">
      <items count="4">
        <item x="2"/>
        <item x="0"/>
        <item x="1"/>
        <item t="default"/>
      </items>
    </pivotField>
    <pivotField dataField="1" showAll="0"/>
    <pivotField numFmtId="165" showAll="0"/>
    <pivotField numFmtId="2" showAll="0"/>
    <pivotField axis="axisRow" showAll="0" measureFilter="1">
      <items count="101">
        <item x="17"/>
        <item x="64"/>
        <item x="30"/>
        <item x="67"/>
        <item x="29"/>
        <item x="10"/>
        <item x="35"/>
        <item x="5"/>
        <item x="31"/>
        <item x="62"/>
        <item x="92"/>
        <item x="81"/>
        <item x="99"/>
        <item x="86"/>
        <item x="3"/>
        <item x="74"/>
        <item x="32"/>
        <item x="70"/>
        <item x="14"/>
        <item x="66"/>
        <item x="87"/>
        <item x="40"/>
        <item x="59"/>
        <item x="9"/>
        <item x="49"/>
        <item x="44"/>
        <item x="15"/>
        <item x="11"/>
        <item x="78"/>
        <item x="37"/>
        <item x="84"/>
        <item x="1"/>
        <item x="63"/>
        <item x="76"/>
        <item x="53"/>
        <item x="16"/>
        <item x="56"/>
        <item x="20"/>
        <item x="57"/>
        <item x="23"/>
        <item x="48"/>
        <item x="71"/>
        <item x="26"/>
        <item x="13"/>
        <item x="69"/>
        <item x="45"/>
        <item x="80"/>
        <item x="65"/>
        <item x="4"/>
        <item x="39"/>
        <item x="68"/>
        <item x="34"/>
        <item x="73"/>
        <item x="75"/>
        <item x="22"/>
        <item x="91"/>
        <item x="12"/>
        <item x="52"/>
        <item x="94"/>
        <item x="85"/>
        <item x="98"/>
        <item x="6"/>
        <item x="24"/>
        <item x="27"/>
        <item x="19"/>
        <item x="25"/>
        <item x="33"/>
        <item x="61"/>
        <item x="83"/>
        <item x="38"/>
        <item x="55"/>
        <item x="2"/>
        <item x="72"/>
        <item x="41"/>
        <item x="36"/>
        <item x="58"/>
        <item x="28"/>
        <item x="79"/>
        <item x="77"/>
        <item x="21"/>
        <item x="54"/>
        <item x="46"/>
        <item x="95"/>
        <item x="97"/>
        <item x="0"/>
        <item x="90"/>
        <item x="60"/>
        <item x="8"/>
        <item x="47"/>
        <item x="43"/>
        <item x="51"/>
        <item x="96"/>
        <item x="50"/>
        <item x="7"/>
        <item x="18"/>
        <item x="42"/>
        <item x="88"/>
        <item x="82"/>
        <item x="89"/>
        <item x="93"/>
        <item t="default"/>
      </items>
    </pivotField>
    <pivotField showAll="0"/>
    <pivotField numFmtId="164" showAll="0">
      <items count="90">
        <item x="24"/>
        <item x="64"/>
        <item x="37"/>
        <item x="35"/>
        <item x="1"/>
        <item x="63"/>
        <item x="76"/>
        <item x="20"/>
        <item x="67"/>
        <item x="77"/>
        <item x="54"/>
        <item x="71"/>
        <item x="61"/>
        <item x="78"/>
        <item x="49"/>
        <item x="62"/>
        <item x="19"/>
        <item x="31"/>
        <item x="26"/>
        <item x="68"/>
        <item x="52"/>
        <item x="70"/>
        <item x="55"/>
        <item x="59"/>
        <item x="58"/>
        <item x="82"/>
        <item x="4"/>
        <item x="7"/>
        <item x="10"/>
        <item x="16"/>
        <item x="0"/>
        <item x="81"/>
        <item x="18"/>
        <item x="66"/>
        <item x="88"/>
        <item x="14"/>
        <item x="29"/>
        <item x="43"/>
        <item x="74"/>
        <item x="28"/>
        <item x="44"/>
        <item x="45"/>
        <item x="27"/>
        <item x="41"/>
        <item x="56"/>
        <item x="46"/>
        <item x="79"/>
        <item x="40"/>
        <item x="11"/>
        <item x="6"/>
        <item x="47"/>
        <item x="25"/>
        <item x="85"/>
        <item x="12"/>
        <item x="53"/>
        <item x="32"/>
        <item x="80"/>
        <item x="84"/>
        <item x="51"/>
        <item x="21"/>
        <item x="33"/>
        <item x="83"/>
        <item x="22"/>
        <item x="36"/>
        <item x="57"/>
        <item x="73"/>
        <item x="87"/>
        <item x="48"/>
        <item x="9"/>
        <item x="39"/>
        <item x="72"/>
        <item x="15"/>
        <item x="86"/>
        <item x="2"/>
        <item x="23"/>
        <item x="38"/>
        <item x="42"/>
        <item x="5"/>
        <item x="75"/>
        <item x="60"/>
        <item x="30"/>
        <item x="13"/>
        <item x="69"/>
        <item x="17"/>
        <item x="65"/>
        <item x="50"/>
        <item x="34"/>
        <item x="8"/>
        <item x="3"/>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v="42"/>
    </i>
    <i>
      <x v="75"/>
    </i>
    <i>
      <x v="76"/>
    </i>
    <i>
      <x v="97"/>
    </i>
    <i t="grand">
      <x/>
    </i>
  </rowItems>
  <colItems count="1">
    <i/>
  </colItems>
  <dataFields count="1">
    <dataField name="Sum of Quantity Sold"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BC2AD7-704F-4E1D-9CFA-65521FF0890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V64:W68" firstHeaderRow="1" firstDataRow="1" firstDataCol="1"/>
  <pivotFields count="12">
    <pivotField showAll="0"/>
    <pivotField showAll="0">
      <items count="6">
        <item x="2"/>
        <item x="3"/>
        <item x="1"/>
        <item x="0"/>
        <item x="4"/>
        <item t="default"/>
      </items>
    </pivotField>
    <pivotField axis="axisRow" showAll="0">
      <items count="4">
        <item x="2"/>
        <item x="0"/>
        <item x="1"/>
        <item t="default"/>
      </items>
    </pivotField>
    <pivotField dataField="1" showAll="0"/>
    <pivotField numFmtId="165" showAll="0"/>
    <pivotField numFmtId="2" showAll="0"/>
    <pivotField showAll="0"/>
    <pivotField showAll="0"/>
    <pivotField numFmtId="164" showAll="0">
      <items count="90">
        <item x="24"/>
        <item x="64"/>
        <item x="37"/>
        <item x="35"/>
        <item x="1"/>
        <item x="63"/>
        <item x="76"/>
        <item x="20"/>
        <item x="67"/>
        <item x="77"/>
        <item x="54"/>
        <item x="71"/>
        <item x="61"/>
        <item x="78"/>
        <item x="49"/>
        <item x="62"/>
        <item x="19"/>
        <item x="31"/>
        <item x="26"/>
        <item x="68"/>
        <item x="52"/>
        <item x="70"/>
        <item x="55"/>
        <item x="59"/>
        <item x="58"/>
        <item x="82"/>
        <item x="4"/>
        <item x="7"/>
        <item x="10"/>
        <item x="16"/>
        <item x="0"/>
        <item x="81"/>
        <item x="18"/>
        <item x="66"/>
        <item x="88"/>
        <item x="14"/>
        <item x="29"/>
        <item x="43"/>
        <item x="74"/>
        <item x="28"/>
        <item x="44"/>
        <item x="45"/>
        <item x="27"/>
        <item x="41"/>
        <item x="56"/>
        <item x="46"/>
        <item x="79"/>
        <item x="40"/>
        <item x="11"/>
        <item x="6"/>
        <item x="47"/>
        <item x="25"/>
        <item x="85"/>
        <item x="12"/>
        <item x="53"/>
        <item x="32"/>
        <item x="80"/>
        <item x="84"/>
        <item x="51"/>
        <item x="21"/>
        <item x="33"/>
        <item x="83"/>
        <item x="22"/>
        <item x="36"/>
        <item x="57"/>
        <item x="73"/>
        <item x="87"/>
        <item x="48"/>
        <item x="9"/>
        <item x="39"/>
        <item x="72"/>
        <item x="15"/>
        <item x="86"/>
        <item x="2"/>
        <item x="23"/>
        <item x="38"/>
        <item x="42"/>
        <item x="5"/>
        <item x="75"/>
        <item x="60"/>
        <item x="30"/>
        <item x="13"/>
        <item x="69"/>
        <item x="17"/>
        <item x="65"/>
        <item x="50"/>
        <item x="34"/>
        <item x="8"/>
        <item x="3"/>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Quantity Sold" fld="3" baseField="0" baseItem="0"/>
  </dataFields>
  <chartFormats count="12">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 count="1" selected="0">
            <x v="0"/>
          </reference>
        </references>
      </pivotArea>
    </chartFormat>
    <chartFormat chart="7" format="7">
      <pivotArea type="data" outline="0" fieldPosition="0">
        <references count="2">
          <reference field="4294967294" count="1" selected="0">
            <x v="0"/>
          </reference>
          <reference field="2" count="1" selected="0">
            <x v="1"/>
          </reference>
        </references>
      </pivotArea>
    </chartFormat>
    <chartFormat chart="7" format="8">
      <pivotArea type="data" outline="0" fieldPosition="0">
        <references count="2">
          <reference field="4294967294" count="1" selected="0">
            <x v="0"/>
          </reference>
          <reference field="2" count="1" selected="0">
            <x v="2"/>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2" count="1" selected="0">
            <x v="0"/>
          </reference>
        </references>
      </pivotArea>
    </chartFormat>
    <chartFormat chart="8" format="11">
      <pivotArea type="data" outline="0" fieldPosition="0">
        <references count="2">
          <reference field="4294967294" count="1" selected="0">
            <x v="0"/>
          </reference>
          <reference field="2" count="1" selected="0">
            <x v="1"/>
          </reference>
        </references>
      </pivotArea>
    </chartFormat>
    <chartFormat chart="8" format="12">
      <pivotArea type="data" outline="0" fieldPosition="0">
        <references count="2">
          <reference field="4294967294" count="1" selected="0">
            <x v="0"/>
          </reference>
          <reference field="2"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2" count="1" selected="0">
            <x v="0"/>
          </reference>
        </references>
      </pivotArea>
    </chartFormat>
    <chartFormat chart="9" format="15">
      <pivotArea type="data" outline="0" fieldPosition="0">
        <references count="2">
          <reference field="4294967294" count="1" selected="0">
            <x v="0"/>
          </reference>
          <reference field="2" count="1" selected="0">
            <x v="1"/>
          </reference>
        </references>
      </pivotArea>
    </chartFormat>
    <chartFormat chart="9" format="1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5C203F-6918-4F70-867D-C9A52C99AC52}"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82:C88" firstHeaderRow="1" firstDataRow="1" firstDataCol="1"/>
  <pivotFields count="12">
    <pivotField showAll="0"/>
    <pivotField axis="axisRow" showAll="0">
      <items count="6">
        <item x="2"/>
        <item x="3"/>
        <item x="1"/>
        <item x="0"/>
        <item x="4"/>
        <item t="default"/>
      </items>
    </pivotField>
    <pivotField showAll="0">
      <items count="4">
        <item x="2"/>
        <item x="0"/>
        <item x="1"/>
        <item t="default"/>
      </items>
    </pivotField>
    <pivotField dataField="1" showAll="0"/>
    <pivotField numFmtId="165" showAll="0"/>
    <pivotField numFmtId="2" showAll="0"/>
    <pivotField showAll="0"/>
    <pivotField showAll="0"/>
    <pivotField numFmtId="164" showAll="0">
      <items count="90">
        <item x="24"/>
        <item x="64"/>
        <item x="37"/>
        <item x="35"/>
        <item x="1"/>
        <item x="63"/>
        <item x="76"/>
        <item x="20"/>
        <item x="67"/>
        <item x="77"/>
        <item x="54"/>
        <item x="71"/>
        <item x="61"/>
        <item x="78"/>
        <item x="49"/>
        <item x="62"/>
        <item x="19"/>
        <item x="31"/>
        <item x="26"/>
        <item x="68"/>
        <item x="52"/>
        <item x="70"/>
        <item x="55"/>
        <item x="59"/>
        <item x="58"/>
        <item x="82"/>
        <item x="4"/>
        <item x="7"/>
        <item x="10"/>
        <item x="16"/>
        <item x="0"/>
        <item x="81"/>
        <item x="18"/>
        <item x="66"/>
        <item x="88"/>
        <item x="14"/>
        <item x="29"/>
        <item x="43"/>
        <item x="74"/>
        <item x="28"/>
        <item x="44"/>
        <item x="45"/>
        <item x="27"/>
        <item x="41"/>
        <item x="56"/>
        <item x="46"/>
        <item x="79"/>
        <item x="40"/>
        <item x="11"/>
        <item x="6"/>
        <item x="47"/>
        <item x="25"/>
        <item x="85"/>
        <item x="12"/>
        <item x="53"/>
        <item x="32"/>
        <item x="80"/>
        <item x="84"/>
        <item x="51"/>
        <item x="21"/>
        <item x="33"/>
        <item x="83"/>
        <item x="22"/>
        <item x="36"/>
        <item x="57"/>
        <item x="73"/>
        <item x="87"/>
        <item x="48"/>
        <item x="9"/>
        <item x="39"/>
        <item x="72"/>
        <item x="15"/>
        <item x="86"/>
        <item x="2"/>
        <item x="23"/>
        <item x="38"/>
        <item x="42"/>
        <item x="5"/>
        <item x="75"/>
        <item x="60"/>
        <item x="30"/>
        <item x="13"/>
        <item x="69"/>
        <item x="17"/>
        <item x="65"/>
        <item x="50"/>
        <item x="34"/>
        <item x="8"/>
        <item x="3"/>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i>
    <i>
      <x v="1"/>
    </i>
    <i>
      <x v="2"/>
    </i>
    <i>
      <x v="3"/>
    </i>
    <i>
      <x v="4"/>
    </i>
    <i t="grand">
      <x/>
    </i>
  </rowItems>
  <colItems count="1">
    <i/>
  </colItems>
  <dataFields count="1">
    <dataField name="Sum of Quantity Sol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80CF80-A809-4971-8605-79C9ACE9DD1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C8" firstHeaderRow="0" firstDataRow="1" firstDataCol="1"/>
  <pivotFields count="12">
    <pivotField showAll="0"/>
    <pivotField axis="axisRow" showAll="0">
      <items count="6">
        <item x="2"/>
        <item x="3"/>
        <item x="1"/>
        <item x="0"/>
        <item x="4"/>
        <item t="default"/>
      </items>
    </pivotField>
    <pivotField showAll="0">
      <items count="4">
        <item h="1" x="2"/>
        <item h="1" x="0"/>
        <item x="1"/>
        <item t="default"/>
      </items>
    </pivotField>
    <pivotField dataField="1" showAll="0"/>
    <pivotField dataField="1" numFmtId="165" showAll="0"/>
    <pivotField numFmtId="2" showAll="0"/>
    <pivotField showAll="0"/>
    <pivotField showAll="0"/>
    <pivotField numFmtId="164" showAll="0">
      <items count="90">
        <item x="24"/>
        <item x="64"/>
        <item x="37"/>
        <item x="35"/>
        <item x="1"/>
        <item x="63"/>
        <item x="76"/>
        <item x="20"/>
        <item x="67"/>
        <item x="77"/>
        <item x="54"/>
        <item x="71"/>
        <item x="61"/>
        <item x="78"/>
        <item x="49"/>
        <item x="62"/>
        <item x="19"/>
        <item x="31"/>
        <item x="26"/>
        <item x="68"/>
        <item x="52"/>
        <item x="70"/>
        <item x="55"/>
        <item x="59"/>
        <item x="58"/>
        <item x="82"/>
        <item x="4"/>
        <item x="7"/>
        <item x="10"/>
        <item x="16"/>
        <item x="0"/>
        <item x="81"/>
        <item x="18"/>
        <item x="66"/>
        <item x="88"/>
        <item x="14"/>
        <item x="29"/>
        <item x="43"/>
        <item x="74"/>
        <item x="28"/>
        <item x="44"/>
        <item x="45"/>
        <item x="27"/>
        <item x="41"/>
        <item x="56"/>
        <item x="46"/>
        <item x="79"/>
        <item x="40"/>
        <item x="11"/>
        <item x="6"/>
        <item x="47"/>
        <item x="25"/>
        <item x="85"/>
        <item x="12"/>
        <item x="53"/>
        <item x="32"/>
        <item x="80"/>
        <item x="84"/>
        <item x="51"/>
        <item x="21"/>
        <item x="33"/>
        <item x="83"/>
        <item x="22"/>
        <item x="36"/>
        <item x="57"/>
        <item x="73"/>
        <item x="87"/>
        <item x="48"/>
        <item x="9"/>
        <item x="39"/>
        <item x="72"/>
        <item x="15"/>
        <item x="86"/>
        <item x="2"/>
        <item x="23"/>
        <item x="38"/>
        <item x="42"/>
        <item x="5"/>
        <item x="75"/>
        <item x="60"/>
        <item x="30"/>
        <item x="13"/>
        <item x="69"/>
        <item x="17"/>
        <item x="65"/>
        <item x="50"/>
        <item x="34"/>
        <item x="8"/>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Fields count="1">
    <field x="-2"/>
  </colFields>
  <colItems count="2">
    <i>
      <x/>
    </i>
    <i i="1">
      <x v="1"/>
    </i>
  </colItems>
  <dataFields count="2">
    <dataField name="Sum of Quantity Sold" fld="3" baseField="0" baseItem="0"/>
    <dataField name="Sum of Revenue ($)"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B8C964-54ED-4684-AD05-166021F9BBF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6:W43" firstHeaderRow="1" firstDataRow="2" firstDataCol="1"/>
  <pivotFields count="12">
    <pivotField showAll="0"/>
    <pivotField axis="axisRow" showAll="0">
      <items count="6">
        <item x="2"/>
        <item x="3"/>
        <item x="1"/>
        <item x="0"/>
        <item x="4"/>
        <item t="default"/>
      </items>
    </pivotField>
    <pivotField axis="axisCol" showAll="0">
      <items count="4">
        <item x="2"/>
        <item x="0"/>
        <item x="1"/>
        <item t="default"/>
      </items>
    </pivotField>
    <pivotField showAll="0"/>
    <pivotField numFmtId="165" showAll="0"/>
    <pivotField numFmtId="2" showAll="0"/>
    <pivotField showAll="0"/>
    <pivotField showAll="0"/>
    <pivotField numFmtId="164" showAll="0">
      <items count="90">
        <item x="24"/>
        <item x="64"/>
        <item x="37"/>
        <item x="35"/>
        <item x="1"/>
        <item x="63"/>
        <item x="76"/>
        <item x="20"/>
        <item x="67"/>
        <item x="77"/>
        <item x="54"/>
        <item x="71"/>
        <item x="61"/>
        <item x="78"/>
        <item x="49"/>
        <item x="62"/>
        <item x="19"/>
        <item x="31"/>
        <item x="26"/>
        <item x="68"/>
        <item x="52"/>
        <item x="70"/>
        <item x="55"/>
        <item x="59"/>
        <item x="58"/>
        <item x="82"/>
        <item x="4"/>
        <item x="7"/>
        <item x="10"/>
        <item x="16"/>
        <item x="0"/>
        <item x="81"/>
        <item x="18"/>
        <item x="66"/>
        <item x="88"/>
        <item x="14"/>
        <item x="29"/>
        <item x="43"/>
        <item x="74"/>
        <item x="28"/>
        <item x="44"/>
        <item x="45"/>
        <item x="27"/>
        <item x="41"/>
        <item x="56"/>
        <item x="46"/>
        <item x="79"/>
        <item x="40"/>
        <item x="11"/>
        <item x="6"/>
        <item x="47"/>
        <item x="25"/>
        <item x="85"/>
        <item x="12"/>
        <item x="53"/>
        <item x="32"/>
        <item x="80"/>
        <item x="84"/>
        <item x="51"/>
        <item x="21"/>
        <item x="33"/>
        <item x="83"/>
        <item x="22"/>
        <item x="36"/>
        <item x="57"/>
        <item x="73"/>
        <item x="87"/>
        <item x="48"/>
        <item x="9"/>
        <item x="39"/>
        <item x="72"/>
        <item x="15"/>
        <item x="86"/>
        <item x="2"/>
        <item x="23"/>
        <item x="38"/>
        <item x="42"/>
        <item x="5"/>
        <item x="75"/>
        <item x="60"/>
        <item x="30"/>
        <item x="13"/>
        <item x="69"/>
        <item x="17"/>
        <item x="65"/>
        <item x="50"/>
        <item x="34"/>
        <item x="8"/>
        <item x="3"/>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i>
    <i>
      <x v="1"/>
    </i>
    <i>
      <x v="2"/>
    </i>
    <i>
      <x v="3"/>
    </i>
    <i>
      <x v="4"/>
    </i>
    <i t="grand">
      <x/>
    </i>
  </rowItems>
  <colFields count="1">
    <field x="2"/>
  </colFields>
  <colItems count="4">
    <i>
      <x/>
    </i>
    <i>
      <x v="1"/>
    </i>
    <i>
      <x v="2"/>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589C34-72D0-43C3-A95B-2743EEA44B3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9:B25" firstHeaderRow="1" firstDataRow="1" firstDataCol="1"/>
  <pivotFields count="12">
    <pivotField showAll="0"/>
    <pivotField showAll="0">
      <items count="6">
        <item x="2"/>
        <item x="3"/>
        <item x="1"/>
        <item x="0"/>
        <item x="4"/>
        <item t="default"/>
      </items>
    </pivotField>
    <pivotField showAll="0">
      <items count="4">
        <item x="2"/>
        <item x="0"/>
        <item x="1"/>
        <item t="default"/>
      </items>
    </pivotField>
    <pivotField showAll="0"/>
    <pivotField dataField="1" numFmtId="165" showAll="0"/>
    <pivotField numFmtId="2" showAll="0"/>
    <pivotField showAll="0"/>
    <pivotField axis="axisRow" showAll="0">
      <items count="6">
        <item x="4"/>
        <item x="3"/>
        <item x="2"/>
        <item x="0"/>
        <item x="1"/>
        <item t="default"/>
      </items>
    </pivotField>
    <pivotField numFmtId="164" showAll="0">
      <items count="90">
        <item x="24"/>
        <item x="64"/>
        <item x="37"/>
        <item x="35"/>
        <item x="1"/>
        <item x="63"/>
        <item x="76"/>
        <item x="20"/>
        <item x="67"/>
        <item x="77"/>
        <item x="54"/>
        <item x="71"/>
        <item x="61"/>
        <item x="78"/>
        <item x="49"/>
        <item x="62"/>
        <item x="19"/>
        <item x="31"/>
        <item x="26"/>
        <item x="68"/>
        <item x="52"/>
        <item x="70"/>
        <item x="55"/>
        <item x="59"/>
        <item x="58"/>
        <item x="82"/>
        <item x="4"/>
        <item x="7"/>
        <item x="10"/>
        <item x="16"/>
        <item x="0"/>
        <item x="81"/>
        <item x="18"/>
        <item x="66"/>
        <item x="88"/>
        <item x="14"/>
        <item x="29"/>
        <item x="43"/>
        <item x="74"/>
        <item x="28"/>
        <item x="44"/>
        <item x="45"/>
        <item x="27"/>
        <item x="41"/>
        <item x="56"/>
        <item x="46"/>
        <item x="79"/>
        <item x="40"/>
        <item x="11"/>
        <item x="6"/>
        <item x="47"/>
        <item x="25"/>
        <item x="85"/>
        <item x="12"/>
        <item x="53"/>
        <item x="32"/>
        <item x="80"/>
        <item x="84"/>
        <item x="51"/>
        <item x="21"/>
        <item x="33"/>
        <item x="83"/>
        <item x="22"/>
        <item x="36"/>
        <item x="57"/>
        <item x="73"/>
        <item x="87"/>
        <item x="48"/>
        <item x="9"/>
        <item x="39"/>
        <item x="72"/>
        <item x="15"/>
        <item x="86"/>
        <item x="2"/>
        <item x="23"/>
        <item x="38"/>
        <item x="42"/>
        <item x="5"/>
        <item x="75"/>
        <item x="60"/>
        <item x="30"/>
        <item x="13"/>
        <item x="69"/>
        <item x="17"/>
        <item x="65"/>
        <item x="50"/>
        <item x="34"/>
        <item x="8"/>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Sum of Revenue ($)" fld="4" baseField="0" baseItem="0" numFmtId="165"/>
  </dataFields>
  <chartFormats count="6">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7" count="1" selected="0">
            <x v="0"/>
          </reference>
        </references>
      </pivotArea>
    </chartFormat>
    <chartFormat chart="6" format="14">
      <pivotArea type="data" outline="0" fieldPosition="0">
        <references count="2">
          <reference field="4294967294" count="1" selected="0">
            <x v="0"/>
          </reference>
          <reference field="7" count="1" selected="0">
            <x v="1"/>
          </reference>
        </references>
      </pivotArea>
    </chartFormat>
    <chartFormat chart="6" format="15">
      <pivotArea type="data" outline="0" fieldPosition="0">
        <references count="2">
          <reference field="4294967294" count="1" selected="0">
            <x v="0"/>
          </reference>
          <reference field="7" count="1" selected="0">
            <x v="2"/>
          </reference>
        </references>
      </pivotArea>
    </chartFormat>
    <chartFormat chart="6" format="16">
      <pivotArea type="data" outline="0" fieldPosition="0">
        <references count="2">
          <reference field="4294967294" count="1" selected="0">
            <x v="0"/>
          </reference>
          <reference field="7" count="1" selected="0">
            <x v="3"/>
          </reference>
        </references>
      </pivotArea>
    </chartFormat>
    <chartFormat chart="6"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B5B3A2-248D-474F-8D34-456D863B98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36:C48" firstHeaderRow="1" firstDataRow="1" firstDataCol="1"/>
  <pivotFields count="12">
    <pivotField showAll="0"/>
    <pivotField showAll="0">
      <items count="6">
        <item x="2"/>
        <item x="3"/>
        <item x="1"/>
        <item x="0"/>
        <item x="4"/>
        <item t="default"/>
      </items>
    </pivotField>
    <pivotField showAll="0">
      <items count="4">
        <item x="2"/>
        <item x="0"/>
        <item x="1"/>
        <item t="default"/>
      </items>
    </pivotField>
    <pivotField dataField="1" showAll="0"/>
    <pivotField numFmtId="165" showAll="0"/>
    <pivotField numFmtId="2" showAll="0"/>
    <pivotField showAll="0"/>
    <pivotField showAll="0"/>
    <pivotField numFmtId="164" showAll="0">
      <items count="90">
        <item x="24"/>
        <item x="64"/>
        <item x="37"/>
        <item x="35"/>
        <item x="1"/>
        <item x="63"/>
        <item x="76"/>
        <item x="20"/>
        <item x="67"/>
        <item x="77"/>
        <item x="54"/>
        <item x="71"/>
        <item x="61"/>
        <item x="78"/>
        <item x="49"/>
        <item x="62"/>
        <item x="19"/>
        <item x="31"/>
        <item x="26"/>
        <item x="68"/>
        <item x="52"/>
        <item x="70"/>
        <item x="55"/>
        <item x="59"/>
        <item x="58"/>
        <item x="82"/>
        <item x="4"/>
        <item x="7"/>
        <item x="10"/>
        <item x="16"/>
        <item x="0"/>
        <item x="81"/>
        <item x="18"/>
        <item x="66"/>
        <item x="88"/>
        <item x="14"/>
        <item x="29"/>
        <item x="43"/>
        <item x="74"/>
        <item x="28"/>
        <item x="44"/>
        <item x="45"/>
        <item x="27"/>
        <item x="41"/>
        <item x="56"/>
        <item x="46"/>
        <item x="79"/>
        <item x="40"/>
        <item x="11"/>
        <item x="6"/>
        <item x="47"/>
        <item x="25"/>
        <item x="85"/>
        <item x="12"/>
        <item x="53"/>
        <item x="32"/>
        <item x="80"/>
        <item x="84"/>
        <item x="51"/>
        <item x="21"/>
        <item x="33"/>
        <item x="83"/>
        <item x="22"/>
        <item x="36"/>
        <item x="57"/>
        <item x="73"/>
        <item x="87"/>
        <item x="48"/>
        <item x="9"/>
        <item x="39"/>
        <item x="72"/>
        <item x="15"/>
        <item x="86"/>
        <item x="2"/>
        <item x="23"/>
        <item x="38"/>
        <item x="42"/>
        <item x="5"/>
        <item x="75"/>
        <item x="60"/>
        <item x="30"/>
        <item x="13"/>
        <item x="69"/>
        <item x="17"/>
        <item x="65"/>
        <item x="50"/>
        <item x="34"/>
        <item x="8"/>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2">
    <i>
      <x v="1"/>
    </i>
    <i>
      <x v="2"/>
    </i>
    <i>
      <x v="3"/>
    </i>
    <i>
      <x v="4"/>
    </i>
    <i>
      <x v="5"/>
    </i>
    <i>
      <x v="6"/>
    </i>
    <i>
      <x v="7"/>
    </i>
    <i>
      <x v="8"/>
    </i>
    <i>
      <x v="9"/>
    </i>
    <i>
      <x v="10"/>
    </i>
    <i>
      <x v="11"/>
    </i>
    <i t="grand">
      <x/>
    </i>
  </rowItems>
  <colItems count="1">
    <i/>
  </colItems>
  <dataFields count="1">
    <dataField name="Sum of Quantity Sold" fld="3"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4A36019-ECE1-4E11-ADA7-40ECF290A569}" sourceName="Category">
  <pivotTables>
    <pivotTable tabId="2" name="PivotTable3"/>
    <pivotTable tabId="2" name="PivotTable4"/>
    <pivotTable tabId="2" name="PivotTable5"/>
    <pivotTable tabId="2" name="PivotTable6"/>
    <pivotTable tabId="2" name="PivotTable2"/>
    <pivotTable tabId="2" name="PivotTable10"/>
  </pivotTables>
  <data>
    <tabular pivotCacheId="190657719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DF0ACDF-4550-4A87-BE37-217CA0BFA5C8}" sourceName="Product">
  <pivotTables>
    <pivotTable tabId="2" name="PivotTable5"/>
    <pivotTable tabId="2" name="PivotTable3"/>
    <pivotTable tabId="2" name="PivotTable4"/>
    <pivotTable tabId="2" name="PivotTable6"/>
    <pivotTable tabId="2" name="PivotTable2"/>
    <pivotTable tabId="2" name="PivotTable7"/>
  </pivotTables>
  <data>
    <tabular pivotCacheId="1906577192">
      <items count="5">
        <i x="2" s="1"/>
        <i x="3"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DD5B82D-715D-49A4-A9D3-4D724749167B}" cache="Slicer_Category" caption="Category" rowHeight="234950"/>
  <slicer name="Product 1" xr10:uid="{B5D3A6B8-F7CF-460A-A0A5-D57A77261D2C}"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Sale" xr10:uid="{831130D5-1DF4-46F4-B843-6DF8A5B9652C}" sourceName="Date of Sale">
  <pivotTables>
    <pivotTable tabId="2" name="PivotTable1"/>
    <pivotTable tabId="2" name="PivotTable2"/>
    <pivotTable tabId="2" name="PivotTable4"/>
    <pivotTable tabId="2" name="PivotTable6"/>
    <pivotTable tabId="2" name="PivotTable10"/>
  </pivotTables>
  <state minimalRefreshVersion="6" lastRefreshVersion="6" pivotCacheId="1906577192"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Sale 1" xr10:uid="{5A565B74-CE60-4242-911C-16EDB834F4E6}" cache="NativeTimeline_Date_of_Sale" caption="Date of Sale" showHorizontalScrollbar="0" level="2" selectionLevel="2" scrollPosition="2025-01-01T00:00:00" style="TimeSlicerStyleDark1"/>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opLeftCell="A34" workbookViewId="0"/>
  </sheetViews>
  <sheetFormatPr defaultRowHeight="14.4" x14ac:dyDescent="0.3"/>
  <cols>
    <col min="1" max="1" width="36.33203125" bestFit="1" customWidth="1"/>
    <col min="2" max="2" width="11.109375" bestFit="1" customWidth="1"/>
    <col min="3" max="3" width="10.44140625" bestFit="1" customWidth="1"/>
    <col min="4" max="4" width="12.44140625" bestFit="1" customWidth="1"/>
    <col min="5" max="5" width="11.109375" style="4" bestFit="1" customWidth="1"/>
    <col min="6" max="6" width="11.5546875" style="7" bestFit="1" customWidth="1"/>
    <col min="7" max="7" width="17.44140625" bestFit="1" customWidth="1"/>
    <col min="8" max="8" width="12.88671875" bestFit="1" customWidth="1"/>
    <col min="9" max="9" width="11" bestFit="1" customWidth="1"/>
    <col min="10" max="10" width="15.88671875" bestFit="1" customWidth="1"/>
  </cols>
  <sheetData>
    <row r="1" spans="1:10" x14ac:dyDescent="0.3">
      <c r="A1" s="1" t="s">
        <v>0</v>
      </c>
      <c r="B1" s="1" t="s">
        <v>1</v>
      </c>
      <c r="C1" s="1" t="s">
        <v>2</v>
      </c>
      <c r="D1" s="1" t="s">
        <v>3</v>
      </c>
      <c r="E1" s="3" t="s">
        <v>4</v>
      </c>
      <c r="F1" s="6" t="s">
        <v>5</v>
      </c>
      <c r="G1" s="1" t="s">
        <v>6</v>
      </c>
      <c r="H1" s="1" t="s">
        <v>7</v>
      </c>
      <c r="I1" s="1" t="s">
        <v>8</v>
      </c>
      <c r="J1" s="1" t="s">
        <v>9</v>
      </c>
    </row>
    <row r="2" spans="1:10" x14ac:dyDescent="0.3">
      <c r="A2" t="s">
        <v>10</v>
      </c>
      <c r="B2" t="s">
        <v>11</v>
      </c>
      <c r="C2" t="s">
        <v>12</v>
      </c>
      <c r="D2">
        <v>53</v>
      </c>
      <c r="E2" s="4">
        <v>2850.22</v>
      </c>
      <c r="F2" s="7">
        <v>28.59</v>
      </c>
      <c r="G2" t="s">
        <v>13</v>
      </c>
      <c r="H2" t="s">
        <v>14</v>
      </c>
      <c r="I2" s="2">
        <v>45758</v>
      </c>
      <c r="J2" t="s">
        <v>15</v>
      </c>
    </row>
    <row r="3" spans="1:10" x14ac:dyDescent="0.3">
      <c r="A3" t="s">
        <v>16</v>
      </c>
      <c r="B3" t="s">
        <v>17</v>
      </c>
      <c r="C3" t="s">
        <v>18</v>
      </c>
      <c r="D3">
        <v>43</v>
      </c>
      <c r="E3" s="4">
        <v>2922.03</v>
      </c>
      <c r="F3" s="7">
        <v>10.17</v>
      </c>
      <c r="G3" t="s">
        <v>19</v>
      </c>
      <c r="H3" t="s">
        <v>20</v>
      </c>
      <c r="I3" s="2">
        <v>45677</v>
      </c>
      <c r="J3" t="s">
        <v>21</v>
      </c>
    </row>
    <row r="4" spans="1:10" x14ac:dyDescent="0.3">
      <c r="A4" t="s">
        <v>22</v>
      </c>
      <c r="B4" t="s">
        <v>23</v>
      </c>
      <c r="C4" t="s">
        <v>18</v>
      </c>
      <c r="D4">
        <v>11</v>
      </c>
      <c r="E4" s="4">
        <v>1198.3499999999999</v>
      </c>
      <c r="F4" s="7">
        <v>41.1</v>
      </c>
      <c r="G4" t="s">
        <v>24</v>
      </c>
      <c r="H4" t="s">
        <v>25</v>
      </c>
      <c r="I4" s="2">
        <v>45945</v>
      </c>
      <c r="J4" t="s">
        <v>21</v>
      </c>
    </row>
    <row r="5" spans="1:10" x14ac:dyDescent="0.3">
      <c r="A5" t="s">
        <v>26</v>
      </c>
      <c r="B5" t="s">
        <v>27</v>
      </c>
      <c r="C5" t="s">
        <v>28</v>
      </c>
      <c r="D5">
        <v>70</v>
      </c>
      <c r="E5" s="4">
        <v>3874.92</v>
      </c>
      <c r="F5" s="7">
        <v>17.87</v>
      </c>
      <c r="G5" t="s">
        <v>29</v>
      </c>
      <c r="H5" t="s">
        <v>25</v>
      </c>
      <c r="I5" s="2">
        <v>45984</v>
      </c>
      <c r="J5" t="s">
        <v>21</v>
      </c>
    </row>
    <row r="6" spans="1:10" x14ac:dyDescent="0.3">
      <c r="A6" t="s">
        <v>30</v>
      </c>
      <c r="B6" t="s">
        <v>17</v>
      </c>
      <c r="C6" t="s">
        <v>12</v>
      </c>
      <c r="D6">
        <v>40</v>
      </c>
      <c r="E6" s="4">
        <v>1430.74</v>
      </c>
      <c r="F6" s="7">
        <v>48.83</v>
      </c>
      <c r="G6" t="s">
        <v>31</v>
      </c>
      <c r="H6" t="s">
        <v>20</v>
      </c>
      <c r="I6" s="2">
        <v>45748</v>
      </c>
      <c r="J6" t="s">
        <v>32</v>
      </c>
    </row>
    <row r="7" spans="1:10" x14ac:dyDescent="0.3">
      <c r="A7" t="s">
        <v>33</v>
      </c>
      <c r="B7" t="s">
        <v>34</v>
      </c>
      <c r="C7" t="s">
        <v>12</v>
      </c>
      <c r="D7">
        <v>25</v>
      </c>
      <c r="E7" s="4">
        <v>3684.31</v>
      </c>
      <c r="F7" s="7">
        <v>24.26</v>
      </c>
      <c r="G7" t="s">
        <v>35</v>
      </c>
      <c r="H7" t="s">
        <v>36</v>
      </c>
      <c r="I7" s="2">
        <v>45957</v>
      </c>
      <c r="J7" t="s">
        <v>32</v>
      </c>
    </row>
    <row r="8" spans="1:10" x14ac:dyDescent="0.3">
      <c r="A8" t="s">
        <v>37</v>
      </c>
      <c r="B8" t="s">
        <v>34</v>
      </c>
      <c r="C8" t="s">
        <v>28</v>
      </c>
      <c r="D8">
        <v>12</v>
      </c>
      <c r="E8" s="4">
        <v>3853.65</v>
      </c>
      <c r="F8" s="7">
        <v>3.33</v>
      </c>
      <c r="G8" t="s">
        <v>38</v>
      </c>
      <c r="H8" t="s">
        <v>39</v>
      </c>
      <c r="I8" s="2">
        <v>45850</v>
      </c>
      <c r="J8" t="s">
        <v>21</v>
      </c>
    </row>
    <row r="9" spans="1:10" x14ac:dyDescent="0.3">
      <c r="A9" t="s">
        <v>40</v>
      </c>
      <c r="B9" t="s">
        <v>27</v>
      </c>
      <c r="C9" t="s">
        <v>18</v>
      </c>
      <c r="D9">
        <v>80</v>
      </c>
      <c r="E9" s="4">
        <v>1192.3599999999999</v>
      </c>
      <c r="F9" s="7">
        <v>12</v>
      </c>
      <c r="G9" t="s">
        <v>41</v>
      </c>
      <c r="H9" t="s">
        <v>36</v>
      </c>
      <c r="I9" s="2">
        <v>45750</v>
      </c>
      <c r="J9" t="s">
        <v>32</v>
      </c>
    </row>
    <row r="10" spans="1:10" x14ac:dyDescent="0.3">
      <c r="A10" t="s">
        <v>42</v>
      </c>
      <c r="B10" t="s">
        <v>34</v>
      </c>
      <c r="C10" t="s">
        <v>18</v>
      </c>
      <c r="D10">
        <v>7</v>
      </c>
      <c r="E10" s="4">
        <v>2377.94</v>
      </c>
      <c r="F10" s="7">
        <v>37.78</v>
      </c>
      <c r="G10" t="s">
        <v>43</v>
      </c>
      <c r="H10" t="s">
        <v>36</v>
      </c>
      <c r="I10" s="2">
        <v>45983</v>
      </c>
      <c r="J10" t="s">
        <v>21</v>
      </c>
    </row>
    <row r="11" spans="1:10" x14ac:dyDescent="0.3">
      <c r="A11" t="s">
        <v>44</v>
      </c>
      <c r="B11" t="s">
        <v>27</v>
      </c>
      <c r="C11" t="s">
        <v>12</v>
      </c>
      <c r="D11">
        <v>65</v>
      </c>
      <c r="E11" s="4">
        <v>1245.55</v>
      </c>
      <c r="F11" s="7">
        <v>37.79</v>
      </c>
      <c r="G11" t="s">
        <v>45</v>
      </c>
      <c r="H11" t="s">
        <v>25</v>
      </c>
      <c r="I11" s="2">
        <v>45914</v>
      </c>
      <c r="J11" t="s">
        <v>21</v>
      </c>
    </row>
    <row r="12" spans="1:10" x14ac:dyDescent="0.3">
      <c r="A12" t="s">
        <v>46</v>
      </c>
      <c r="B12" t="s">
        <v>23</v>
      </c>
      <c r="C12" t="s">
        <v>28</v>
      </c>
      <c r="D12">
        <v>15</v>
      </c>
      <c r="E12" s="4">
        <v>4132.12</v>
      </c>
      <c r="F12" s="7">
        <v>27.6</v>
      </c>
      <c r="G12" t="s">
        <v>47</v>
      </c>
      <c r="H12" t="s">
        <v>25</v>
      </c>
      <c r="I12" s="2">
        <v>45755</v>
      </c>
      <c r="J12" t="s">
        <v>21</v>
      </c>
    </row>
    <row r="13" spans="1:10" x14ac:dyDescent="0.3">
      <c r="A13" t="s">
        <v>48</v>
      </c>
      <c r="B13" t="s">
        <v>17</v>
      </c>
      <c r="C13" t="s">
        <v>12</v>
      </c>
      <c r="D13">
        <v>84</v>
      </c>
      <c r="E13" s="4">
        <v>417.95</v>
      </c>
      <c r="F13" s="7">
        <v>32.22</v>
      </c>
      <c r="G13" t="s">
        <v>49</v>
      </c>
      <c r="H13" t="s">
        <v>36</v>
      </c>
      <c r="I13" s="2">
        <v>45849</v>
      </c>
      <c r="J13" t="s">
        <v>21</v>
      </c>
    </row>
    <row r="14" spans="1:10" x14ac:dyDescent="0.3">
      <c r="A14" t="s">
        <v>50</v>
      </c>
      <c r="B14" t="s">
        <v>11</v>
      </c>
      <c r="C14" t="s">
        <v>28</v>
      </c>
      <c r="D14">
        <v>6</v>
      </c>
      <c r="E14" s="4">
        <v>2302.34</v>
      </c>
      <c r="F14" s="7">
        <v>24.3</v>
      </c>
      <c r="G14" t="s">
        <v>51</v>
      </c>
      <c r="H14" t="s">
        <v>20</v>
      </c>
      <c r="I14" s="2">
        <v>45861</v>
      </c>
      <c r="J14" t="s">
        <v>15</v>
      </c>
    </row>
    <row r="15" spans="1:10" x14ac:dyDescent="0.3">
      <c r="A15" t="s">
        <v>52</v>
      </c>
      <c r="B15" t="s">
        <v>11</v>
      </c>
      <c r="C15" t="s">
        <v>28</v>
      </c>
      <c r="D15">
        <v>12</v>
      </c>
      <c r="E15" s="4">
        <v>598.9</v>
      </c>
      <c r="F15" s="7">
        <v>11.56</v>
      </c>
      <c r="G15" t="s">
        <v>53</v>
      </c>
      <c r="H15" t="s">
        <v>14</v>
      </c>
      <c r="I15" s="2">
        <v>45964</v>
      </c>
      <c r="J15" t="s">
        <v>32</v>
      </c>
    </row>
    <row r="16" spans="1:10" x14ac:dyDescent="0.3">
      <c r="A16" t="s">
        <v>54</v>
      </c>
      <c r="B16" t="s">
        <v>23</v>
      </c>
      <c r="C16" t="s">
        <v>28</v>
      </c>
      <c r="D16">
        <v>50</v>
      </c>
      <c r="E16" s="4">
        <v>4738.66</v>
      </c>
      <c r="F16" s="7">
        <v>7.08</v>
      </c>
      <c r="G16" t="s">
        <v>55</v>
      </c>
      <c r="H16" t="s">
        <v>20</v>
      </c>
      <c r="I16" s="2">
        <v>45790</v>
      </c>
      <c r="J16" t="s">
        <v>15</v>
      </c>
    </row>
    <row r="17" spans="1:10" x14ac:dyDescent="0.3">
      <c r="A17" t="s">
        <v>56</v>
      </c>
      <c r="B17" t="s">
        <v>11</v>
      </c>
      <c r="C17" t="s">
        <v>18</v>
      </c>
      <c r="D17">
        <v>14</v>
      </c>
      <c r="E17" s="4">
        <v>2324.4699999999998</v>
      </c>
      <c r="F17" s="7">
        <v>37.520000000000003</v>
      </c>
      <c r="G17" t="s">
        <v>57</v>
      </c>
      <c r="H17" t="s">
        <v>39</v>
      </c>
      <c r="I17" s="2">
        <v>45934</v>
      </c>
      <c r="J17" t="s">
        <v>58</v>
      </c>
    </row>
    <row r="18" spans="1:10" x14ac:dyDescent="0.3">
      <c r="A18" t="s">
        <v>59</v>
      </c>
      <c r="B18" t="s">
        <v>23</v>
      </c>
      <c r="C18" t="s">
        <v>12</v>
      </c>
      <c r="D18">
        <v>81</v>
      </c>
      <c r="E18" s="4">
        <v>4982.84</v>
      </c>
      <c r="F18" s="7">
        <v>23.82</v>
      </c>
      <c r="G18" t="s">
        <v>60</v>
      </c>
      <c r="H18" t="s">
        <v>36</v>
      </c>
      <c r="I18" s="2">
        <v>45756</v>
      </c>
      <c r="J18" t="s">
        <v>32</v>
      </c>
    </row>
    <row r="19" spans="1:10" x14ac:dyDescent="0.3">
      <c r="A19" t="s">
        <v>61</v>
      </c>
      <c r="B19" t="s">
        <v>34</v>
      </c>
      <c r="C19" t="s">
        <v>18</v>
      </c>
      <c r="D19">
        <v>51</v>
      </c>
      <c r="E19" s="4">
        <v>4257.32</v>
      </c>
      <c r="F19" s="7">
        <v>36.61</v>
      </c>
      <c r="G19" t="s">
        <v>62</v>
      </c>
      <c r="H19" t="s">
        <v>36</v>
      </c>
      <c r="I19" s="2">
        <v>45971</v>
      </c>
      <c r="J19" t="s">
        <v>15</v>
      </c>
    </row>
    <row r="20" spans="1:10" x14ac:dyDescent="0.3">
      <c r="A20" t="s">
        <v>63</v>
      </c>
      <c r="B20" t="s">
        <v>17</v>
      </c>
      <c r="C20" t="s">
        <v>18</v>
      </c>
      <c r="D20">
        <v>43</v>
      </c>
      <c r="E20" s="4">
        <v>421.91</v>
      </c>
      <c r="F20" s="7">
        <v>3.19</v>
      </c>
      <c r="G20" t="s">
        <v>64</v>
      </c>
      <c r="H20" t="s">
        <v>14</v>
      </c>
      <c r="I20" s="2">
        <v>45761</v>
      </c>
      <c r="J20" t="s">
        <v>58</v>
      </c>
    </row>
    <row r="21" spans="1:10" x14ac:dyDescent="0.3">
      <c r="A21" t="s">
        <v>65</v>
      </c>
      <c r="B21" t="s">
        <v>11</v>
      </c>
      <c r="C21" t="s">
        <v>28</v>
      </c>
      <c r="D21">
        <v>87</v>
      </c>
      <c r="E21" s="4">
        <v>4359.1099999999997</v>
      </c>
      <c r="F21" s="7">
        <v>28.36</v>
      </c>
      <c r="G21" t="s">
        <v>66</v>
      </c>
      <c r="H21" t="s">
        <v>20</v>
      </c>
      <c r="I21" s="2">
        <v>45717</v>
      </c>
      <c r="J21" t="s">
        <v>32</v>
      </c>
    </row>
    <row r="22" spans="1:10" x14ac:dyDescent="0.3">
      <c r="A22" t="s">
        <v>67</v>
      </c>
      <c r="B22" t="s">
        <v>11</v>
      </c>
      <c r="C22" t="s">
        <v>12</v>
      </c>
      <c r="D22">
        <v>9</v>
      </c>
      <c r="E22" s="4">
        <v>1804.13</v>
      </c>
      <c r="F22" s="7">
        <v>3.18</v>
      </c>
      <c r="G22" t="s">
        <v>68</v>
      </c>
      <c r="H22" t="s">
        <v>36</v>
      </c>
      <c r="I22" s="2">
        <v>45686</v>
      </c>
      <c r="J22" t="s">
        <v>21</v>
      </c>
    </row>
    <row r="23" spans="1:10" x14ac:dyDescent="0.3">
      <c r="A23" t="s">
        <v>69</v>
      </c>
      <c r="B23" t="s">
        <v>27</v>
      </c>
      <c r="C23" t="s">
        <v>28</v>
      </c>
      <c r="D23">
        <v>49</v>
      </c>
      <c r="E23" s="4">
        <v>2640.81</v>
      </c>
      <c r="F23" s="7">
        <v>44.24</v>
      </c>
      <c r="G23" t="s">
        <v>70</v>
      </c>
      <c r="H23" t="s">
        <v>39</v>
      </c>
      <c r="I23" s="2">
        <v>45945</v>
      </c>
      <c r="J23" t="s">
        <v>58</v>
      </c>
    </row>
    <row r="24" spans="1:10" x14ac:dyDescent="0.3">
      <c r="A24" t="s">
        <v>71</v>
      </c>
      <c r="B24" t="s">
        <v>17</v>
      </c>
      <c r="C24" t="s">
        <v>18</v>
      </c>
      <c r="D24">
        <v>61</v>
      </c>
      <c r="E24" s="4">
        <v>577.48</v>
      </c>
      <c r="F24" s="7">
        <v>41.05</v>
      </c>
      <c r="G24" t="s">
        <v>72</v>
      </c>
      <c r="H24" t="s">
        <v>14</v>
      </c>
      <c r="I24" s="2">
        <v>45877</v>
      </c>
      <c r="J24" t="s">
        <v>32</v>
      </c>
    </row>
    <row r="25" spans="1:10" x14ac:dyDescent="0.3">
      <c r="A25" t="s">
        <v>73</v>
      </c>
      <c r="B25" t="s">
        <v>17</v>
      </c>
      <c r="C25" t="s">
        <v>12</v>
      </c>
      <c r="D25">
        <v>33</v>
      </c>
      <c r="E25" s="4">
        <v>684.89</v>
      </c>
      <c r="F25" s="7">
        <v>24.65</v>
      </c>
      <c r="G25" t="s">
        <v>74</v>
      </c>
      <c r="H25" t="s">
        <v>39</v>
      </c>
      <c r="I25" s="2">
        <v>45893</v>
      </c>
      <c r="J25" t="s">
        <v>15</v>
      </c>
    </row>
    <row r="26" spans="1:10" x14ac:dyDescent="0.3">
      <c r="A26" t="s">
        <v>75</v>
      </c>
      <c r="B26" t="s">
        <v>34</v>
      </c>
      <c r="C26" t="s">
        <v>28</v>
      </c>
      <c r="D26">
        <v>10</v>
      </c>
      <c r="E26" s="4">
        <v>4643.32</v>
      </c>
      <c r="F26" s="7">
        <v>12.25</v>
      </c>
      <c r="G26" t="s">
        <v>76</v>
      </c>
      <c r="H26" t="s">
        <v>20</v>
      </c>
      <c r="I26" s="2">
        <v>45946</v>
      </c>
      <c r="J26" t="s">
        <v>58</v>
      </c>
    </row>
    <row r="27" spans="1:10" x14ac:dyDescent="0.3">
      <c r="A27" t="s">
        <v>77</v>
      </c>
      <c r="B27" t="s">
        <v>23</v>
      </c>
      <c r="C27" t="s">
        <v>12</v>
      </c>
      <c r="D27">
        <v>77</v>
      </c>
      <c r="E27" s="4">
        <v>2888.39</v>
      </c>
      <c r="F27" s="7">
        <v>9.7799999999999994</v>
      </c>
      <c r="G27" t="s">
        <v>78</v>
      </c>
      <c r="H27" t="s">
        <v>20</v>
      </c>
      <c r="I27" s="2">
        <v>45662</v>
      </c>
      <c r="J27" t="s">
        <v>15</v>
      </c>
    </row>
    <row r="28" spans="1:10" x14ac:dyDescent="0.3">
      <c r="A28" t="s">
        <v>79</v>
      </c>
      <c r="B28" t="s">
        <v>27</v>
      </c>
      <c r="C28" t="s">
        <v>28</v>
      </c>
      <c r="D28">
        <v>93</v>
      </c>
      <c r="E28" s="4">
        <v>2792.21</v>
      </c>
      <c r="F28" s="7">
        <v>19.309999999999999</v>
      </c>
      <c r="G28" t="s">
        <v>80</v>
      </c>
      <c r="H28" t="s">
        <v>39</v>
      </c>
      <c r="I28" s="2">
        <v>45853</v>
      </c>
      <c r="J28" t="s">
        <v>32</v>
      </c>
    </row>
    <row r="29" spans="1:10" x14ac:dyDescent="0.3">
      <c r="A29" t="s">
        <v>81</v>
      </c>
      <c r="B29" t="s">
        <v>17</v>
      </c>
      <c r="C29" t="s">
        <v>12</v>
      </c>
      <c r="D29">
        <v>48</v>
      </c>
      <c r="E29" s="4">
        <v>4522.1099999999997</v>
      </c>
      <c r="F29" s="7">
        <v>34.630000000000003</v>
      </c>
      <c r="G29" t="s">
        <v>82</v>
      </c>
      <c r="H29" t="s">
        <v>20</v>
      </c>
      <c r="I29" s="2">
        <v>45721</v>
      </c>
      <c r="J29" t="s">
        <v>21</v>
      </c>
    </row>
    <row r="30" spans="1:10" x14ac:dyDescent="0.3">
      <c r="A30" t="s">
        <v>83</v>
      </c>
      <c r="B30" t="s">
        <v>27</v>
      </c>
      <c r="C30" t="s">
        <v>12</v>
      </c>
      <c r="D30">
        <v>97</v>
      </c>
      <c r="E30" s="4">
        <v>274.93</v>
      </c>
      <c r="F30" s="7">
        <v>42.54</v>
      </c>
      <c r="G30" t="s">
        <v>84</v>
      </c>
      <c r="H30" t="s">
        <v>25</v>
      </c>
      <c r="I30" s="2">
        <v>45823</v>
      </c>
      <c r="J30" t="s">
        <v>15</v>
      </c>
    </row>
    <row r="31" spans="1:10" x14ac:dyDescent="0.3">
      <c r="A31" t="s">
        <v>85</v>
      </c>
      <c r="B31" t="s">
        <v>17</v>
      </c>
      <c r="C31" t="s">
        <v>18</v>
      </c>
      <c r="D31">
        <v>51</v>
      </c>
      <c r="E31" s="4">
        <v>1201.8599999999999</v>
      </c>
      <c r="F31" s="7">
        <v>14.35</v>
      </c>
      <c r="G31" t="s">
        <v>86</v>
      </c>
      <c r="H31" t="s">
        <v>25</v>
      </c>
      <c r="I31" s="2">
        <v>45814</v>
      </c>
      <c r="J31" t="s">
        <v>21</v>
      </c>
    </row>
    <row r="32" spans="1:10" x14ac:dyDescent="0.3">
      <c r="A32" t="s">
        <v>87</v>
      </c>
      <c r="B32" t="s">
        <v>27</v>
      </c>
      <c r="C32" t="s">
        <v>28</v>
      </c>
      <c r="D32">
        <v>53</v>
      </c>
      <c r="E32" s="4">
        <v>542.62</v>
      </c>
      <c r="F32" s="7">
        <v>17.72</v>
      </c>
      <c r="G32" t="s">
        <v>88</v>
      </c>
      <c r="H32" t="s">
        <v>14</v>
      </c>
      <c r="I32" s="2">
        <v>45801</v>
      </c>
      <c r="J32" t="s">
        <v>58</v>
      </c>
    </row>
    <row r="33" spans="1:10" x14ac:dyDescent="0.3">
      <c r="A33" t="s">
        <v>89</v>
      </c>
      <c r="B33" t="s">
        <v>27</v>
      </c>
      <c r="C33" t="s">
        <v>28</v>
      </c>
      <c r="D33">
        <v>25</v>
      </c>
      <c r="E33" s="4">
        <v>1411.93</v>
      </c>
      <c r="F33" s="7">
        <v>26.85</v>
      </c>
      <c r="G33" t="s">
        <v>90</v>
      </c>
      <c r="H33" t="s">
        <v>20</v>
      </c>
      <c r="I33" s="2">
        <v>45962</v>
      </c>
      <c r="J33" t="s">
        <v>15</v>
      </c>
    </row>
    <row r="34" spans="1:10" x14ac:dyDescent="0.3">
      <c r="A34" t="s">
        <v>91</v>
      </c>
      <c r="B34" t="s">
        <v>23</v>
      </c>
      <c r="C34" t="s">
        <v>12</v>
      </c>
      <c r="D34">
        <v>27</v>
      </c>
      <c r="E34" s="4">
        <v>1957.47</v>
      </c>
      <c r="F34" s="7">
        <v>33.56</v>
      </c>
      <c r="G34" t="s">
        <v>92</v>
      </c>
      <c r="H34" t="s">
        <v>25</v>
      </c>
      <c r="I34" s="2">
        <v>45718</v>
      </c>
      <c r="J34" t="s">
        <v>15</v>
      </c>
    </row>
    <row r="35" spans="1:10" x14ac:dyDescent="0.3">
      <c r="A35" t="s">
        <v>93</v>
      </c>
      <c r="B35" t="s">
        <v>27</v>
      </c>
      <c r="C35" t="s">
        <v>18</v>
      </c>
      <c r="D35">
        <v>32</v>
      </c>
      <c r="E35" s="4">
        <v>2308.67</v>
      </c>
      <c r="F35" s="7">
        <v>43.55</v>
      </c>
      <c r="G35" t="s">
        <v>94</v>
      </c>
      <c r="H35" t="s">
        <v>39</v>
      </c>
      <c r="I35" s="2">
        <v>45866</v>
      </c>
      <c r="J35" t="s">
        <v>21</v>
      </c>
    </row>
    <row r="36" spans="1:10" x14ac:dyDescent="0.3">
      <c r="A36" t="s">
        <v>95</v>
      </c>
      <c r="B36" t="s">
        <v>17</v>
      </c>
      <c r="C36" t="s">
        <v>18</v>
      </c>
      <c r="D36">
        <v>81</v>
      </c>
      <c r="E36" s="4">
        <v>536.64</v>
      </c>
      <c r="F36" s="7">
        <v>44.92</v>
      </c>
      <c r="G36" t="s">
        <v>96</v>
      </c>
      <c r="H36" t="s">
        <v>25</v>
      </c>
      <c r="I36" s="2">
        <v>45881</v>
      </c>
      <c r="J36" t="s">
        <v>15</v>
      </c>
    </row>
    <row r="37" spans="1:10" x14ac:dyDescent="0.3">
      <c r="A37" t="s">
        <v>97</v>
      </c>
      <c r="B37" t="s">
        <v>27</v>
      </c>
      <c r="C37" t="s">
        <v>18</v>
      </c>
      <c r="D37">
        <v>83</v>
      </c>
      <c r="E37" s="4">
        <v>704.78</v>
      </c>
      <c r="F37" s="7">
        <v>5.3</v>
      </c>
      <c r="G37" t="s">
        <v>98</v>
      </c>
      <c r="H37" t="s">
        <v>39</v>
      </c>
      <c r="I37" s="2">
        <v>45980</v>
      </c>
      <c r="J37" t="s">
        <v>58</v>
      </c>
    </row>
    <row r="38" spans="1:10" x14ac:dyDescent="0.3">
      <c r="A38" t="s">
        <v>99</v>
      </c>
      <c r="B38" t="s">
        <v>27</v>
      </c>
      <c r="C38" t="s">
        <v>12</v>
      </c>
      <c r="D38">
        <v>88</v>
      </c>
      <c r="E38" s="4">
        <v>1346.64</v>
      </c>
      <c r="F38" s="7">
        <v>26.97</v>
      </c>
      <c r="G38" t="s">
        <v>100</v>
      </c>
      <c r="H38" t="s">
        <v>20</v>
      </c>
      <c r="I38" s="2">
        <v>45676</v>
      </c>
      <c r="J38" t="s">
        <v>58</v>
      </c>
    </row>
    <row r="39" spans="1:10" x14ac:dyDescent="0.3">
      <c r="A39" t="s">
        <v>101</v>
      </c>
      <c r="B39" t="s">
        <v>27</v>
      </c>
      <c r="C39" t="s">
        <v>28</v>
      </c>
      <c r="D39">
        <v>29</v>
      </c>
      <c r="E39" s="4">
        <v>842.36</v>
      </c>
      <c r="F39" s="7">
        <v>44.81</v>
      </c>
      <c r="G39" t="s">
        <v>102</v>
      </c>
      <c r="H39" t="s">
        <v>25</v>
      </c>
      <c r="I39" s="2">
        <v>45901</v>
      </c>
      <c r="J39" t="s">
        <v>58</v>
      </c>
    </row>
    <row r="40" spans="1:10" x14ac:dyDescent="0.3">
      <c r="A40" t="s">
        <v>103</v>
      </c>
      <c r="B40" t="s">
        <v>11</v>
      </c>
      <c r="C40" t="s">
        <v>12</v>
      </c>
      <c r="D40">
        <v>13</v>
      </c>
      <c r="E40" s="4">
        <v>535.12</v>
      </c>
      <c r="F40" s="7">
        <v>29.18</v>
      </c>
      <c r="G40" t="s">
        <v>104</v>
      </c>
      <c r="H40" t="s">
        <v>36</v>
      </c>
      <c r="I40" s="2">
        <v>45671</v>
      </c>
      <c r="J40" t="s">
        <v>32</v>
      </c>
    </row>
    <row r="41" spans="1:10" x14ac:dyDescent="0.3">
      <c r="A41" t="s">
        <v>105</v>
      </c>
      <c r="B41" t="s">
        <v>11</v>
      </c>
      <c r="C41" t="s">
        <v>18</v>
      </c>
      <c r="D41">
        <v>90</v>
      </c>
      <c r="E41" s="4">
        <v>4475.0200000000004</v>
      </c>
      <c r="F41" s="7">
        <v>33.799999999999997</v>
      </c>
      <c r="G41" t="s">
        <v>106</v>
      </c>
      <c r="H41" t="s">
        <v>14</v>
      </c>
      <c r="I41" s="2">
        <v>45950</v>
      </c>
      <c r="J41" t="s">
        <v>58</v>
      </c>
    </row>
    <row r="42" spans="1:10" x14ac:dyDescent="0.3">
      <c r="A42" t="s">
        <v>107</v>
      </c>
      <c r="B42" t="s">
        <v>34</v>
      </c>
      <c r="C42" t="s">
        <v>12</v>
      </c>
      <c r="D42">
        <v>38</v>
      </c>
      <c r="E42" s="4">
        <v>3594.72</v>
      </c>
      <c r="F42" s="7">
        <v>26.1</v>
      </c>
      <c r="G42" t="s">
        <v>108</v>
      </c>
      <c r="H42" t="s">
        <v>25</v>
      </c>
      <c r="I42" s="2">
        <v>45920</v>
      </c>
      <c r="J42" t="s">
        <v>58</v>
      </c>
    </row>
    <row r="43" spans="1:10" x14ac:dyDescent="0.3">
      <c r="A43" t="s">
        <v>109</v>
      </c>
      <c r="B43" t="s">
        <v>27</v>
      </c>
      <c r="C43" t="s">
        <v>18</v>
      </c>
      <c r="D43">
        <v>40</v>
      </c>
      <c r="E43" s="4">
        <v>2841.24</v>
      </c>
      <c r="F43" s="7">
        <v>37.57</v>
      </c>
      <c r="G43" t="s">
        <v>110</v>
      </c>
      <c r="H43" t="s">
        <v>25</v>
      </c>
      <c r="I43" s="2">
        <v>45848</v>
      </c>
      <c r="J43" t="s">
        <v>15</v>
      </c>
    </row>
    <row r="44" spans="1:10" x14ac:dyDescent="0.3">
      <c r="A44" t="s">
        <v>111</v>
      </c>
      <c r="B44" t="s">
        <v>17</v>
      </c>
      <c r="C44" t="s">
        <v>18</v>
      </c>
      <c r="D44">
        <v>22</v>
      </c>
      <c r="E44" s="4">
        <v>901.39</v>
      </c>
      <c r="F44" s="7">
        <v>18.739999999999998</v>
      </c>
      <c r="G44" t="s">
        <v>112</v>
      </c>
      <c r="H44" t="s">
        <v>20</v>
      </c>
      <c r="I44" s="2">
        <v>45825</v>
      </c>
      <c r="J44" t="s">
        <v>58</v>
      </c>
    </row>
    <row r="45" spans="1:10" x14ac:dyDescent="0.3">
      <c r="A45" t="s">
        <v>113</v>
      </c>
      <c r="B45" t="s">
        <v>34</v>
      </c>
      <c r="C45" t="s">
        <v>12</v>
      </c>
      <c r="D45">
        <v>68</v>
      </c>
      <c r="E45" s="4">
        <v>2585.39</v>
      </c>
      <c r="F45" s="7">
        <v>31.93</v>
      </c>
      <c r="G45" t="s">
        <v>114</v>
      </c>
      <c r="H45" t="s">
        <v>36</v>
      </c>
      <c r="I45" s="2">
        <v>45951</v>
      </c>
      <c r="J45" t="s">
        <v>15</v>
      </c>
    </row>
    <row r="46" spans="1:10" x14ac:dyDescent="0.3">
      <c r="A46" t="s">
        <v>115</v>
      </c>
      <c r="B46" t="s">
        <v>11</v>
      </c>
      <c r="C46" t="s">
        <v>18</v>
      </c>
      <c r="D46">
        <v>41</v>
      </c>
      <c r="E46" s="4">
        <v>461.71</v>
      </c>
      <c r="F46" s="7">
        <v>16.010000000000002</v>
      </c>
      <c r="G46" t="s">
        <v>116</v>
      </c>
      <c r="H46" t="s">
        <v>14</v>
      </c>
      <c r="I46" s="2">
        <v>45803</v>
      </c>
      <c r="J46" t="s">
        <v>58</v>
      </c>
    </row>
    <row r="47" spans="1:10" x14ac:dyDescent="0.3">
      <c r="A47" t="s">
        <v>117</v>
      </c>
      <c r="B47" t="s">
        <v>17</v>
      </c>
      <c r="C47" t="s">
        <v>12</v>
      </c>
      <c r="D47">
        <v>41</v>
      </c>
      <c r="E47" s="4">
        <v>2422.67</v>
      </c>
      <c r="F47" s="7">
        <v>12.76</v>
      </c>
      <c r="G47" t="s">
        <v>118</v>
      </c>
      <c r="H47" t="s">
        <v>39</v>
      </c>
      <c r="I47" s="2">
        <v>45817</v>
      </c>
      <c r="J47" t="s">
        <v>32</v>
      </c>
    </row>
    <row r="48" spans="1:10" x14ac:dyDescent="0.3">
      <c r="A48" t="s">
        <v>119</v>
      </c>
      <c r="B48" t="s">
        <v>11</v>
      </c>
      <c r="C48" t="s">
        <v>28</v>
      </c>
      <c r="D48">
        <v>11</v>
      </c>
      <c r="E48" s="4">
        <v>3711.77</v>
      </c>
      <c r="F48" s="7">
        <v>14.83</v>
      </c>
      <c r="G48" t="s">
        <v>120</v>
      </c>
      <c r="H48" t="s">
        <v>39</v>
      </c>
      <c r="I48" s="2">
        <v>45818</v>
      </c>
      <c r="J48" t="s">
        <v>32</v>
      </c>
    </row>
    <row r="49" spans="1:10" x14ac:dyDescent="0.3">
      <c r="A49" t="s">
        <v>121</v>
      </c>
      <c r="B49" t="s">
        <v>23</v>
      </c>
      <c r="C49" t="s">
        <v>28</v>
      </c>
      <c r="D49">
        <v>72</v>
      </c>
      <c r="E49" s="4">
        <v>4146.33</v>
      </c>
      <c r="F49" s="7">
        <v>8.9600000000000009</v>
      </c>
      <c r="G49" t="s">
        <v>122</v>
      </c>
      <c r="H49" t="s">
        <v>14</v>
      </c>
      <c r="I49" s="2">
        <v>45843</v>
      </c>
      <c r="J49" t="s">
        <v>32</v>
      </c>
    </row>
    <row r="50" spans="1:10" x14ac:dyDescent="0.3">
      <c r="A50" t="s">
        <v>123</v>
      </c>
      <c r="B50" t="s">
        <v>23</v>
      </c>
      <c r="C50" t="s">
        <v>12</v>
      </c>
      <c r="D50">
        <v>91</v>
      </c>
      <c r="E50" s="4">
        <v>1110.3800000000001</v>
      </c>
      <c r="F50" s="7">
        <v>28.44</v>
      </c>
      <c r="G50" t="s">
        <v>124</v>
      </c>
      <c r="H50" t="s">
        <v>25</v>
      </c>
      <c r="I50" s="2">
        <v>45851</v>
      </c>
      <c r="J50" t="s">
        <v>58</v>
      </c>
    </row>
    <row r="51" spans="1:10" x14ac:dyDescent="0.3">
      <c r="A51" t="s">
        <v>125</v>
      </c>
      <c r="B51" t="s">
        <v>23</v>
      </c>
      <c r="C51" t="s">
        <v>12</v>
      </c>
      <c r="D51">
        <v>18</v>
      </c>
      <c r="E51" s="4">
        <v>2080.89</v>
      </c>
      <c r="F51" s="7">
        <v>27.91</v>
      </c>
      <c r="G51" t="s">
        <v>126</v>
      </c>
      <c r="H51" t="s">
        <v>36</v>
      </c>
      <c r="I51" s="2">
        <v>45980</v>
      </c>
      <c r="J51" t="s">
        <v>58</v>
      </c>
    </row>
    <row r="52" spans="1:10" x14ac:dyDescent="0.3">
      <c r="A52" t="s">
        <v>127</v>
      </c>
      <c r="B52" t="s">
        <v>27</v>
      </c>
      <c r="C52" t="s">
        <v>28</v>
      </c>
      <c r="D52">
        <v>42</v>
      </c>
      <c r="E52" s="4">
        <v>4699.6099999999997</v>
      </c>
      <c r="F52" s="7">
        <v>33.700000000000003</v>
      </c>
      <c r="G52" t="s">
        <v>128</v>
      </c>
      <c r="H52" t="s">
        <v>36</v>
      </c>
      <c r="I52" s="2">
        <v>45912</v>
      </c>
      <c r="J52" t="s">
        <v>15</v>
      </c>
    </row>
    <row r="53" spans="1:10" x14ac:dyDescent="0.3">
      <c r="A53" t="s">
        <v>129</v>
      </c>
      <c r="B53" t="s">
        <v>11</v>
      </c>
      <c r="C53" t="s">
        <v>28</v>
      </c>
      <c r="D53">
        <v>39</v>
      </c>
      <c r="E53" s="4">
        <v>3954.71</v>
      </c>
      <c r="F53" s="7">
        <v>20.29</v>
      </c>
      <c r="G53" t="s">
        <v>130</v>
      </c>
      <c r="H53" t="s">
        <v>36</v>
      </c>
      <c r="I53" s="2">
        <v>45901</v>
      </c>
      <c r="J53" t="s">
        <v>58</v>
      </c>
    </row>
    <row r="54" spans="1:10" x14ac:dyDescent="0.3">
      <c r="A54" t="s">
        <v>131</v>
      </c>
      <c r="B54" t="s">
        <v>34</v>
      </c>
      <c r="C54" t="s">
        <v>18</v>
      </c>
      <c r="D54">
        <v>3</v>
      </c>
      <c r="E54" s="4">
        <v>1954.02</v>
      </c>
      <c r="F54" s="7">
        <v>39.83</v>
      </c>
      <c r="G54" t="s">
        <v>132</v>
      </c>
      <c r="H54" t="s">
        <v>14</v>
      </c>
      <c r="I54" s="2">
        <v>45708</v>
      </c>
      <c r="J54" t="s">
        <v>58</v>
      </c>
    </row>
    <row r="55" spans="1:10" x14ac:dyDescent="0.3">
      <c r="A55" t="s">
        <v>133</v>
      </c>
      <c r="B55" t="s">
        <v>34</v>
      </c>
      <c r="C55" t="s">
        <v>18</v>
      </c>
      <c r="D55">
        <v>15</v>
      </c>
      <c r="E55" s="4">
        <v>4352.88</v>
      </c>
      <c r="F55" s="7">
        <v>35.57</v>
      </c>
      <c r="G55" t="s">
        <v>134</v>
      </c>
      <c r="H55" t="s">
        <v>39</v>
      </c>
      <c r="I55" s="2">
        <v>45978</v>
      </c>
      <c r="J55" t="s">
        <v>58</v>
      </c>
    </row>
    <row r="56" spans="1:10" x14ac:dyDescent="0.3">
      <c r="A56" t="s">
        <v>135</v>
      </c>
      <c r="B56" t="s">
        <v>34</v>
      </c>
      <c r="C56" t="s">
        <v>18</v>
      </c>
      <c r="D56">
        <v>37</v>
      </c>
      <c r="E56" s="4">
        <v>467.3</v>
      </c>
      <c r="F56" s="7">
        <v>19.61</v>
      </c>
      <c r="G56" t="s">
        <v>136</v>
      </c>
      <c r="H56" t="s">
        <v>25</v>
      </c>
      <c r="I56" s="2">
        <v>45876</v>
      </c>
      <c r="J56" t="s">
        <v>32</v>
      </c>
    </row>
    <row r="57" spans="1:10" x14ac:dyDescent="0.3">
      <c r="A57" t="s">
        <v>137</v>
      </c>
      <c r="B57" t="s">
        <v>23</v>
      </c>
      <c r="C57" t="s">
        <v>28</v>
      </c>
      <c r="D57">
        <v>24</v>
      </c>
      <c r="E57" s="4">
        <v>2963.22</v>
      </c>
      <c r="F57" s="7">
        <v>17.52</v>
      </c>
      <c r="G57" t="s">
        <v>138</v>
      </c>
      <c r="H57" t="s">
        <v>25</v>
      </c>
      <c r="I57" s="2">
        <v>45724</v>
      </c>
      <c r="J57" t="s">
        <v>15</v>
      </c>
    </row>
    <row r="58" spans="1:10" x14ac:dyDescent="0.3">
      <c r="A58" t="s">
        <v>139</v>
      </c>
      <c r="B58" t="s">
        <v>11</v>
      </c>
      <c r="C58" t="s">
        <v>18</v>
      </c>
      <c r="D58">
        <v>55</v>
      </c>
      <c r="E58" s="4">
        <v>1898.73</v>
      </c>
      <c r="F58" s="7">
        <v>44.33</v>
      </c>
      <c r="G58" t="s">
        <v>140</v>
      </c>
      <c r="H58" t="s">
        <v>39</v>
      </c>
      <c r="I58" s="2">
        <v>45863</v>
      </c>
      <c r="J58" t="s">
        <v>58</v>
      </c>
    </row>
    <row r="59" spans="1:10" x14ac:dyDescent="0.3">
      <c r="A59" t="s">
        <v>141</v>
      </c>
      <c r="B59" t="s">
        <v>34</v>
      </c>
      <c r="C59" t="s">
        <v>12</v>
      </c>
      <c r="D59">
        <v>17</v>
      </c>
      <c r="E59" s="4">
        <v>2591.6999999999998</v>
      </c>
      <c r="F59" s="7">
        <v>18.16</v>
      </c>
      <c r="G59" t="s">
        <v>142</v>
      </c>
      <c r="H59" t="s">
        <v>20</v>
      </c>
      <c r="I59" s="2">
        <v>45691</v>
      </c>
      <c r="J59" t="s">
        <v>21</v>
      </c>
    </row>
    <row r="60" spans="1:10" x14ac:dyDescent="0.3">
      <c r="A60" t="s">
        <v>143</v>
      </c>
      <c r="B60" t="s">
        <v>27</v>
      </c>
      <c r="C60" t="s">
        <v>12</v>
      </c>
      <c r="D60">
        <v>96</v>
      </c>
      <c r="E60" s="4">
        <v>1235.46</v>
      </c>
      <c r="F60" s="7">
        <v>37.86</v>
      </c>
      <c r="G60" t="s">
        <v>144</v>
      </c>
      <c r="H60" t="s">
        <v>20</v>
      </c>
      <c r="I60" s="2">
        <v>45735</v>
      </c>
      <c r="J60" t="s">
        <v>15</v>
      </c>
    </row>
    <row r="61" spans="1:10" x14ac:dyDescent="0.3">
      <c r="A61" t="s">
        <v>145</v>
      </c>
      <c r="B61" t="s">
        <v>27</v>
      </c>
      <c r="C61" t="s">
        <v>28</v>
      </c>
      <c r="D61">
        <v>14</v>
      </c>
      <c r="E61" s="4">
        <v>825.07</v>
      </c>
      <c r="F61" s="7">
        <v>20.87</v>
      </c>
      <c r="G61" t="s">
        <v>146</v>
      </c>
      <c r="H61" t="s">
        <v>39</v>
      </c>
      <c r="I61" s="2">
        <v>45832</v>
      </c>
      <c r="J61" t="s">
        <v>32</v>
      </c>
    </row>
    <row r="62" spans="1:10" x14ac:dyDescent="0.3">
      <c r="A62" t="s">
        <v>147</v>
      </c>
      <c r="B62" t="s">
        <v>34</v>
      </c>
      <c r="C62" t="s">
        <v>12</v>
      </c>
      <c r="D62">
        <v>90</v>
      </c>
      <c r="E62" s="4">
        <v>100.6</v>
      </c>
      <c r="F62" s="7">
        <v>26.78</v>
      </c>
      <c r="G62" t="s">
        <v>148</v>
      </c>
      <c r="H62" t="s">
        <v>39</v>
      </c>
      <c r="I62" s="2">
        <v>45904</v>
      </c>
      <c r="J62" t="s">
        <v>58</v>
      </c>
    </row>
    <row r="63" spans="1:10" x14ac:dyDescent="0.3">
      <c r="A63" t="s">
        <v>149</v>
      </c>
      <c r="B63" t="s">
        <v>34</v>
      </c>
      <c r="C63" t="s">
        <v>18</v>
      </c>
      <c r="D63">
        <v>18</v>
      </c>
      <c r="E63" s="4">
        <v>3579.85</v>
      </c>
      <c r="F63" s="7">
        <v>19.37</v>
      </c>
      <c r="G63" t="s">
        <v>150</v>
      </c>
      <c r="H63" t="s">
        <v>25</v>
      </c>
      <c r="I63" s="2">
        <v>45790</v>
      </c>
      <c r="J63" t="s">
        <v>15</v>
      </c>
    </row>
    <row r="64" spans="1:10" x14ac:dyDescent="0.3">
      <c r="A64" t="s">
        <v>151</v>
      </c>
      <c r="B64" t="s">
        <v>23</v>
      </c>
      <c r="C64" t="s">
        <v>28</v>
      </c>
      <c r="D64">
        <v>48</v>
      </c>
      <c r="E64" s="4">
        <v>438.11</v>
      </c>
      <c r="F64" s="7">
        <v>38.58</v>
      </c>
      <c r="G64" t="s">
        <v>152</v>
      </c>
      <c r="H64" t="s">
        <v>14</v>
      </c>
      <c r="I64" s="2">
        <v>45741</v>
      </c>
      <c r="J64" t="s">
        <v>21</v>
      </c>
    </row>
    <row r="65" spans="1:10" x14ac:dyDescent="0.3">
      <c r="A65" t="s">
        <v>153</v>
      </c>
      <c r="B65" t="s">
        <v>11</v>
      </c>
      <c r="C65" t="s">
        <v>18</v>
      </c>
      <c r="D65">
        <v>60</v>
      </c>
      <c r="E65" s="4">
        <v>3438.21</v>
      </c>
      <c r="F65" s="7">
        <v>31.32</v>
      </c>
      <c r="G65" t="s">
        <v>154</v>
      </c>
      <c r="H65" t="s">
        <v>25</v>
      </c>
      <c r="I65" s="2">
        <v>45736</v>
      </c>
      <c r="J65" t="s">
        <v>21</v>
      </c>
    </row>
    <row r="66" spans="1:10" x14ac:dyDescent="0.3">
      <c r="A66" t="s">
        <v>155</v>
      </c>
      <c r="B66" t="s">
        <v>17</v>
      </c>
      <c r="C66" t="s">
        <v>28</v>
      </c>
      <c r="D66">
        <v>18</v>
      </c>
      <c r="E66" s="4">
        <v>833.08</v>
      </c>
      <c r="F66" s="7">
        <v>24.94</v>
      </c>
      <c r="G66" t="s">
        <v>156</v>
      </c>
      <c r="H66" t="s">
        <v>39</v>
      </c>
      <c r="I66" s="2">
        <v>45961</v>
      </c>
      <c r="J66" t="s">
        <v>21</v>
      </c>
    </row>
    <row r="67" spans="1:10" x14ac:dyDescent="0.3">
      <c r="A67" t="s">
        <v>157</v>
      </c>
      <c r="B67" t="s">
        <v>34</v>
      </c>
      <c r="C67" t="s">
        <v>28</v>
      </c>
      <c r="D67">
        <v>84</v>
      </c>
      <c r="E67" s="4">
        <v>2642.73</v>
      </c>
      <c r="F67" s="7">
        <v>38.090000000000003</v>
      </c>
      <c r="G67" t="s">
        <v>158</v>
      </c>
      <c r="H67" t="s">
        <v>20</v>
      </c>
      <c r="I67" s="2">
        <v>45698</v>
      </c>
      <c r="J67" t="s">
        <v>21</v>
      </c>
    </row>
    <row r="68" spans="1:10" x14ac:dyDescent="0.3">
      <c r="A68" t="s">
        <v>159</v>
      </c>
      <c r="B68" t="s">
        <v>11</v>
      </c>
      <c r="C68" t="s">
        <v>18</v>
      </c>
      <c r="D68">
        <v>77</v>
      </c>
      <c r="E68" s="4">
        <v>3238.84</v>
      </c>
      <c r="F68" s="7">
        <v>25.52</v>
      </c>
      <c r="G68" t="s">
        <v>160</v>
      </c>
      <c r="H68" t="s">
        <v>14</v>
      </c>
      <c r="I68" s="2">
        <v>45711</v>
      </c>
      <c r="J68" t="s">
        <v>21</v>
      </c>
    </row>
    <row r="69" spans="1:10" x14ac:dyDescent="0.3">
      <c r="A69" t="s">
        <v>161</v>
      </c>
      <c r="B69" t="s">
        <v>23</v>
      </c>
      <c r="C69" t="s">
        <v>12</v>
      </c>
      <c r="D69">
        <v>5</v>
      </c>
      <c r="E69" s="4">
        <v>1944.37</v>
      </c>
      <c r="F69" s="7">
        <v>25.84</v>
      </c>
      <c r="G69" t="s">
        <v>162</v>
      </c>
      <c r="H69" t="s">
        <v>14</v>
      </c>
      <c r="I69" s="2">
        <v>45680</v>
      </c>
      <c r="J69" t="s">
        <v>58</v>
      </c>
    </row>
    <row r="70" spans="1:10" x14ac:dyDescent="0.3">
      <c r="A70" t="s">
        <v>163</v>
      </c>
      <c r="B70" t="s">
        <v>17</v>
      </c>
      <c r="C70" t="s">
        <v>28</v>
      </c>
      <c r="D70">
        <v>18</v>
      </c>
      <c r="E70" s="4">
        <v>4145.9799999999996</v>
      </c>
      <c r="F70" s="7">
        <v>23.38</v>
      </c>
      <c r="G70" t="s">
        <v>164</v>
      </c>
      <c r="H70" t="s">
        <v>14</v>
      </c>
      <c r="I70" s="2">
        <v>45961</v>
      </c>
      <c r="J70" t="s">
        <v>21</v>
      </c>
    </row>
    <row r="71" spans="1:10" x14ac:dyDescent="0.3">
      <c r="A71" t="s">
        <v>165</v>
      </c>
      <c r="B71" t="s">
        <v>23</v>
      </c>
      <c r="C71" t="s">
        <v>28</v>
      </c>
      <c r="D71">
        <v>70</v>
      </c>
      <c r="E71" s="4">
        <v>2409.66</v>
      </c>
      <c r="F71" s="7">
        <v>27.64</v>
      </c>
      <c r="G71" t="s">
        <v>166</v>
      </c>
      <c r="H71" t="s">
        <v>36</v>
      </c>
      <c r="I71" s="2">
        <v>45669</v>
      </c>
      <c r="J71" t="s">
        <v>15</v>
      </c>
    </row>
    <row r="72" spans="1:10" x14ac:dyDescent="0.3">
      <c r="A72" t="s">
        <v>167</v>
      </c>
      <c r="B72" t="s">
        <v>27</v>
      </c>
      <c r="C72" t="s">
        <v>12</v>
      </c>
      <c r="D72">
        <v>36</v>
      </c>
      <c r="E72" s="4">
        <v>432.66</v>
      </c>
      <c r="F72" s="7">
        <v>22.81</v>
      </c>
      <c r="G72" t="s">
        <v>168</v>
      </c>
      <c r="H72" t="s">
        <v>39</v>
      </c>
      <c r="I72" s="2">
        <v>45974</v>
      </c>
      <c r="J72" t="s">
        <v>15</v>
      </c>
    </row>
    <row r="73" spans="1:10" x14ac:dyDescent="0.3">
      <c r="A73" t="s">
        <v>169</v>
      </c>
      <c r="B73" t="s">
        <v>23</v>
      </c>
      <c r="C73" t="s">
        <v>28</v>
      </c>
      <c r="D73">
        <v>74</v>
      </c>
      <c r="E73" s="4">
        <v>3254.48</v>
      </c>
      <c r="F73" s="7">
        <v>21.5</v>
      </c>
      <c r="G73" t="s">
        <v>170</v>
      </c>
      <c r="H73" t="s">
        <v>25</v>
      </c>
      <c r="I73" s="2">
        <v>45914</v>
      </c>
      <c r="J73" t="s">
        <v>58</v>
      </c>
    </row>
    <row r="74" spans="1:10" x14ac:dyDescent="0.3">
      <c r="A74" t="s">
        <v>171</v>
      </c>
      <c r="B74" t="s">
        <v>17</v>
      </c>
      <c r="C74" t="s">
        <v>18</v>
      </c>
      <c r="D74">
        <v>91</v>
      </c>
      <c r="E74" s="4">
        <v>1675.4</v>
      </c>
      <c r="F74" s="7">
        <v>19.670000000000002</v>
      </c>
      <c r="G74" t="s">
        <v>172</v>
      </c>
      <c r="H74" t="s">
        <v>36</v>
      </c>
      <c r="I74" s="2">
        <v>45771</v>
      </c>
      <c r="J74" t="s">
        <v>21</v>
      </c>
    </row>
    <row r="75" spans="1:10" x14ac:dyDescent="0.3">
      <c r="A75" t="s">
        <v>173</v>
      </c>
      <c r="B75" t="s">
        <v>23</v>
      </c>
      <c r="C75" t="s">
        <v>18</v>
      </c>
      <c r="D75">
        <v>76</v>
      </c>
      <c r="E75" s="4">
        <v>3105.08</v>
      </c>
      <c r="F75" s="7">
        <v>44.95</v>
      </c>
      <c r="G75" t="s">
        <v>174</v>
      </c>
      <c r="H75" t="s">
        <v>25</v>
      </c>
      <c r="I75" s="2">
        <v>45688</v>
      </c>
      <c r="J75" t="s">
        <v>21</v>
      </c>
    </row>
    <row r="76" spans="1:10" x14ac:dyDescent="0.3">
      <c r="A76" t="s">
        <v>175</v>
      </c>
      <c r="B76" t="s">
        <v>17</v>
      </c>
      <c r="C76" t="s">
        <v>12</v>
      </c>
      <c r="D76">
        <v>16</v>
      </c>
      <c r="E76" s="4">
        <v>4070.98</v>
      </c>
      <c r="F76" s="7">
        <v>8.75</v>
      </c>
      <c r="G76" t="s">
        <v>176</v>
      </c>
      <c r="H76" t="s">
        <v>25</v>
      </c>
      <c r="I76" s="2">
        <v>45723</v>
      </c>
      <c r="J76" t="s">
        <v>32</v>
      </c>
    </row>
    <row r="77" spans="1:10" x14ac:dyDescent="0.3">
      <c r="A77" t="s">
        <v>177</v>
      </c>
      <c r="B77" t="s">
        <v>27</v>
      </c>
      <c r="C77" t="s">
        <v>28</v>
      </c>
      <c r="D77">
        <v>51</v>
      </c>
      <c r="E77" s="4">
        <v>2369.46</v>
      </c>
      <c r="F77" s="7">
        <v>15.93</v>
      </c>
      <c r="G77" t="s">
        <v>178</v>
      </c>
      <c r="H77" t="s">
        <v>14</v>
      </c>
      <c r="I77" s="2">
        <v>45970</v>
      </c>
      <c r="J77" t="s">
        <v>58</v>
      </c>
    </row>
    <row r="78" spans="1:10" x14ac:dyDescent="0.3">
      <c r="A78" t="s">
        <v>179</v>
      </c>
      <c r="B78" t="s">
        <v>23</v>
      </c>
      <c r="C78" t="s">
        <v>12</v>
      </c>
      <c r="D78">
        <v>87</v>
      </c>
      <c r="E78" s="4">
        <v>2869.86</v>
      </c>
      <c r="F78" s="7">
        <v>30.08</v>
      </c>
      <c r="G78" t="s">
        <v>180</v>
      </c>
      <c r="H78" t="s">
        <v>39</v>
      </c>
      <c r="I78" s="2">
        <v>45727</v>
      </c>
      <c r="J78" t="s">
        <v>32</v>
      </c>
    </row>
    <row r="79" spans="1:10" x14ac:dyDescent="0.3">
      <c r="A79" t="s">
        <v>181</v>
      </c>
      <c r="B79" t="s">
        <v>27</v>
      </c>
      <c r="C79" t="s">
        <v>28</v>
      </c>
      <c r="D79">
        <v>33</v>
      </c>
      <c r="E79" s="4">
        <v>4952.46</v>
      </c>
      <c r="F79" s="7">
        <v>36.380000000000003</v>
      </c>
      <c r="G79" t="s">
        <v>182</v>
      </c>
      <c r="H79" t="s">
        <v>36</v>
      </c>
      <c r="I79" s="2">
        <v>45695</v>
      </c>
      <c r="J79" t="s">
        <v>21</v>
      </c>
    </row>
    <row r="80" spans="1:10" x14ac:dyDescent="0.3">
      <c r="A80" t="s">
        <v>183</v>
      </c>
      <c r="B80" t="s">
        <v>34</v>
      </c>
      <c r="C80" t="s">
        <v>18</v>
      </c>
      <c r="D80">
        <v>2</v>
      </c>
      <c r="E80" s="4">
        <v>2505.46</v>
      </c>
      <c r="F80" s="7">
        <v>33.11</v>
      </c>
      <c r="G80" t="s">
        <v>184</v>
      </c>
      <c r="H80" t="s">
        <v>39</v>
      </c>
      <c r="I80" s="2">
        <v>45750</v>
      </c>
      <c r="J80" t="s">
        <v>15</v>
      </c>
    </row>
    <row r="81" spans="1:10" x14ac:dyDescent="0.3">
      <c r="A81" t="s">
        <v>185</v>
      </c>
      <c r="B81" t="s">
        <v>11</v>
      </c>
      <c r="C81" t="s">
        <v>28</v>
      </c>
      <c r="D81">
        <v>90</v>
      </c>
      <c r="E81" s="4">
        <v>4815.53</v>
      </c>
      <c r="F81" s="7">
        <v>48.03</v>
      </c>
      <c r="G81" t="s">
        <v>186</v>
      </c>
      <c r="H81" t="s">
        <v>36</v>
      </c>
      <c r="I81" s="2">
        <v>45924</v>
      </c>
      <c r="J81" t="s">
        <v>15</v>
      </c>
    </row>
    <row r="82" spans="1:10" x14ac:dyDescent="0.3">
      <c r="A82" t="s">
        <v>187</v>
      </c>
      <c r="B82" t="s">
        <v>23</v>
      </c>
      <c r="C82" t="s">
        <v>18</v>
      </c>
      <c r="D82">
        <v>5</v>
      </c>
      <c r="E82" s="4">
        <v>4556.08</v>
      </c>
      <c r="F82" s="7">
        <v>27.97</v>
      </c>
      <c r="G82" t="s">
        <v>188</v>
      </c>
      <c r="H82" t="s">
        <v>20</v>
      </c>
      <c r="I82" s="2">
        <v>45906</v>
      </c>
      <c r="J82" t="s">
        <v>58</v>
      </c>
    </row>
    <row r="83" spans="1:10" x14ac:dyDescent="0.3">
      <c r="A83" t="s">
        <v>189</v>
      </c>
      <c r="B83" t="s">
        <v>17</v>
      </c>
      <c r="C83" t="s">
        <v>12</v>
      </c>
      <c r="D83">
        <v>36</v>
      </c>
      <c r="E83" s="4">
        <v>211.16</v>
      </c>
      <c r="F83" s="7">
        <v>38.42</v>
      </c>
      <c r="G83" t="s">
        <v>190</v>
      </c>
      <c r="H83" t="s">
        <v>25</v>
      </c>
      <c r="I83" s="2">
        <v>45698</v>
      </c>
      <c r="J83" t="s">
        <v>21</v>
      </c>
    </row>
    <row r="84" spans="1:10" x14ac:dyDescent="0.3">
      <c r="A84" t="s">
        <v>191</v>
      </c>
      <c r="B84" t="s">
        <v>17</v>
      </c>
      <c r="C84" t="s">
        <v>28</v>
      </c>
      <c r="D84">
        <v>93</v>
      </c>
      <c r="E84" s="4">
        <v>979.27</v>
      </c>
      <c r="F84" s="7">
        <v>24.78</v>
      </c>
      <c r="G84" t="s">
        <v>192</v>
      </c>
      <c r="H84" t="s">
        <v>36</v>
      </c>
      <c r="I84" s="2">
        <v>45735</v>
      </c>
      <c r="J84" t="s">
        <v>15</v>
      </c>
    </row>
    <row r="85" spans="1:10" x14ac:dyDescent="0.3">
      <c r="A85" t="s">
        <v>193</v>
      </c>
      <c r="B85" t="s">
        <v>11</v>
      </c>
      <c r="C85" t="s">
        <v>12</v>
      </c>
      <c r="D85">
        <v>77</v>
      </c>
      <c r="E85" s="4">
        <v>4375.04</v>
      </c>
      <c r="F85" s="7">
        <v>40.020000000000003</v>
      </c>
      <c r="G85" t="s">
        <v>194</v>
      </c>
      <c r="H85" t="s">
        <v>20</v>
      </c>
      <c r="I85" s="2">
        <v>45804</v>
      </c>
      <c r="J85" t="s">
        <v>32</v>
      </c>
    </row>
    <row r="86" spans="1:10" x14ac:dyDescent="0.3">
      <c r="A86" t="s">
        <v>195</v>
      </c>
      <c r="B86" t="s">
        <v>23</v>
      </c>
      <c r="C86" t="s">
        <v>12</v>
      </c>
      <c r="D86">
        <v>10</v>
      </c>
      <c r="E86" s="4">
        <v>3289.06</v>
      </c>
      <c r="F86" s="7">
        <v>21.69</v>
      </c>
      <c r="G86" t="s">
        <v>196</v>
      </c>
      <c r="H86" t="s">
        <v>39</v>
      </c>
      <c r="I86" s="2">
        <v>45958</v>
      </c>
      <c r="J86" t="s">
        <v>32</v>
      </c>
    </row>
    <row r="87" spans="1:10" x14ac:dyDescent="0.3">
      <c r="A87" t="s">
        <v>197</v>
      </c>
      <c r="B87" t="s">
        <v>34</v>
      </c>
      <c r="C87" t="s">
        <v>12</v>
      </c>
      <c r="D87">
        <v>71</v>
      </c>
      <c r="E87" s="4">
        <v>4369.16</v>
      </c>
      <c r="F87" s="7">
        <v>11.18</v>
      </c>
      <c r="G87" t="s">
        <v>198</v>
      </c>
      <c r="H87" t="s">
        <v>14</v>
      </c>
      <c r="I87" s="2">
        <v>45681</v>
      </c>
      <c r="J87" t="s">
        <v>21</v>
      </c>
    </row>
    <row r="88" spans="1:10" x14ac:dyDescent="0.3">
      <c r="A88" t="s">
        <v>199</v>
      </c>
      <c r="B88" t="s">
        <v>34</v>
      </c>
      <c r="C88" t="s">
        <v>28</v>
      </c>
      <c r="D88">
        <v>34</v>
      </c>
      <c r="E88" s="4">
        <v>4256.32</v>
      </c>
      <c r="F88" s="7">
        <v>31.97</v>
      </c>
      <c r="G88" t="s">
        <v>200</v>
      </c>
      <c r="H88" t="s">
        <v>25</v>
      </c>
      <c r="I88" s="2">
        <v>45690</v>
      </c>
      <c r="J88" t="s">
        <v>21</v>
      </c>
    </row>
    <row r="89" spans="1:10" x14ac:dyDescent="0.3">
      <c r="A89" t="s">
        <v>201</v>
      </c>
      <c r="B89" t="s">
        <v>23</v>
      </c>
      <c r="C89" t="s">
        <v>18</v>
      </c>
      <c r="D89">
        <v>83</v>
      </c>
      <c r="E89" s="4">
        <v>1475.08</v>
      </c>
      <c r="F89" s="7">
        <v>45.05</v>
      </c>
      <c r="G89" t="s">
        <v>202</v>
      </c>
      <c r="H89" t="s">
        <v>14</v>
      </c>
      <c r="I89" s="2">
        <v>45700</v>
      </c>
      <c r="J89" t="s">
        <v>32</v>
      </c>
    </row>
    <row r="90" spans="1:10" x14ac:dyDescent="0.3">
      <c r="A90" t="s">
        <v>203</v>
      </c>
      <c r="B90" t="s">
        <v>34</v>
      </c>
      <c r="C90" t="s">
        <v>18</v>
      </c>
      <c r="D90">
        <v>7</v>
      </c>
      <c r="E90" s="4">
        <v>4029.49</v>
      </c>
      <c r="F90" s="7">
        <v>34.229999999999997</v>
      </c>
      <c r="G90" t="s">
        <v>204</v>
      </c>
      <c r="H90" t="s">
        <v>20</v>
      </c>
      <c r="I90" s="2">
        <v>45847</v>
      </c>
      <c r="J90" t="s">
        <v>58</v>
      </c>
    </row>
    <row r="91" spans="1:10" x14ac:dyDescent="0.3">
      <c r="A91" t="s">
        <v>205</v>
      </c>
      <c r="B91" t="s">
        <v>23</v>
      </c>
      <c r="C91" t="s">
        <v>12</v>
      </c>
      <c r="D91">
        <v>44</v>
      </c>
      <c r="E91" s="4">
        <v>3609.92</v>
      </c>
      <c r="F91" s="7">
        <v>24.88</v>
      </c>
      <c r="G91" t="s">
        <v>206</v>
      </c>
      <c r="H91" t="s">
        <v>25</v>
      </c>
      <c r="I91" s="2">
        <v>45869</v>
      </c>
      <c r="J91" t="s">
        <v>21</v>
      </c>
    </row>
    <row r="92" spans="1:10" x14ac:dyDescent="0.3">
      <c r="A92" t="s">
        <v>207</v>
      </c>
      <c r="B92" t="s">
        <v>11</v>
      </c>
      <c r="C92" t="s">
        <v>18</v>
      </c>
      <c r="D92">
        <v>73</v>
      </c>
      <c r="E92" s="4">
        <v>2953.49</v>
      </c>
      <c r="F92" s="7">
        <v>16.97</v>
      </c>
      <c r="G92" t="s">
        <v>208</v>
      </c>
      <c r="H92" t="s">
        <v>14</v>
      </c>
      <c r="I92" s="2">
        <v>45853</v>
      </c>
      <c r="J92" t="s">
        <v>58</v>
      </c>
    </row>
    <row r="93" spans="1:10" x14ac:dyDescent="0.3">
      <c r="A93" t="s">
        <v>209</v>
      </c>
      <c r="B93" t="s">
        <v>23</v>
      </c>
      <c r="C93" t="s">
        <v>28</v>
      </c>
      <c r="D93">
        <v>22</v>
      </c>
      <c r="E93" s="4">
        <v>4181.6400000000003</v>
      </c>
      <c r="F93" s="7">
        <v>14.07</v>
      </c>
      <c r="G93" t="s">
        <v>210</v>
      </c>
      <c r="H93" t="s">
        <v>14</v>
      </c>
      <c r="I93" s="2">
        <v>45759</v>
      </c>
      <c r="J93" t="s">
        <v>15</v>
      </c>
    </row>
    <row r="94" spans="1:10" x14ac:dyDescent="0.3">
      <c r="A94" t="s">
        <v>211</v>
      </c>
      <c r="B94" t="s">
        <v>27</v>
      </c>
      <c r="C94" t="s">
        <v>28</v>
      </c>
      <c r="D94">
        <v>81</v>
      </c>
      <c r="E94" s="4">
        <v>4323.09</v>
      </c>
      <c r="F94" s="7">
        <v>15.39</v>
      </c>
      <c r="G94" t="s">
        <v>212</v>
      </c>
      <c r="H94" t="s">
        <v>14</v>
      </c>
      <c r="I94" s="2">
        <v>45744</v>
      </c>
      <c r="J94" t="s">
        <v>21</v>
      </c>
    </row>
    <row r="95" spans="1:10" x14ac:dyDescent="0.3">
      <c r="A95" t="s">
        <v>213</v>
      </c>
      <c r="B95" t="s">
        <v>34</v>
      </c>
      <c r="C95" t="s">
        <v>28</v>
      </c>
      <c r="D95">
        <v>71</v>
      </c>
      <c r="E95" s="4">
        <v>259.08999999999997</v>
      </c>
      <c r="F95" s="7">
        <v>21.41</v>
      </c>
      <c r="G95" t="s">
        <v>214</v>
      </c>
      <c r="H95" t="s">
        <v>14</v>
      </c>
      <c r="I95" s="2">
        <v>45884</v>
      </c>
      <c r="J95" t="s">
        <v>32</v>
      </c>
    </row>
    <row r="96" spans="1:10" x14ac:dyDescent="0.3">
      <c r="A96" t="s">
        <v>215</v>
      </c>
      <c r="B96" t="s">
        <v>23</v>
      </c>
      <c r="C96" t="s">
        <v>28</v>
      </c>
      <c r="D96">
        <v>18</v>
      </c>
      <c r="E96" s="4">
        <v>581.37</v>
      </c>
      <c r="F96" s="7">
        <v>38.25</v>
      </c>
      <c r="G96" t="s">
        <v>216</v>
      </c>
      <c r="H96" t="s">
        <v>25</v>
      </c>
      <c r="I96" s="2">
        <v>45872</v>
      </c>
      <c r="J96" t="s">
        <v>58</v>
      </c>
    </row>
    <row r="97" spans="1:10" x14ac:dyDescent="0.3">
      <c r="A97" t="s">
        <v>217</v>
      </c>
      <c r="B97" t="s">
        <v>23</v>
      </c>
      <c r="C97" t="s">
        <v>28</v>
      </c>
      <c r="D97">
        <v>38</v>
      </c>
      <c r="E97" s="4">
        <v>4178.37</v>
      </c>
      <c r="F97" s="7">
        <v>47.77</v>
      </c>
      <c r="G97" t="s">
        <v>218</v>
      </c>
      <c r="H97" t="s">
        <v>20</v>
      </c>
      <c r="I97" s="2">
        <v>45857</v>
      </c>
      <c r="J97" t="s">
        <v>21</v>
      </c>
    </row>
    <row r="98" spans="1:10" x14ac:dyDescent="0.3">
      <c r="A98" t="s">
        <v>219</v>
      </c>
      <c r="B98" t="s">
        <v>27</v>
      </c>
      <c r="C98" t="s">
        <v>28</v>
      </c>
      <c r="D98">
        <v>73</v>
      </c>
      <c r="E98" s="4">
        <v>3624.74</v>
      </c>
      <c r="F98" s="7">
        <v>19.18</v>
      </c>
      <c r="G98" t="s">
        <v>220</v>
      </c>
      <c r="H98" t="s">
        <v>39</v>
      </c>
      <c r="I98" s="2">
        <v>45863</v>
      </c>
      <c r="J98" t="s">
        <v>15</v>
      </c>
    </row>
    <row r="99" spans="1:10" x14ac:dyDescent="0.3">
      <c r="A99" t="s">
        <v>221</v>
      </c>
      <c r="B99" t="s">
        <v>27</v>
      </c>
      <c r="C99" t="s">
        <v>28</v>
      </c>
      <c r="D99">
        <v>20</v>
      </c>
      <c r="E99" s="4">
        <v>4880.3100000000004</v>
      </c>
      <c r="F99" s="7">
        <v>32.630000000000003</v>
      </c>
      <c r="G99" t="s">
        <v>222</v>
      </c>
      <c r="H99" t="s">
        <v>39</v>
      </c>
      <c r="I99" s="2">
        <v>45942</v>
      </c>
      <c r="J99" t="s">
        <v>32</v>
      </c>
    </row>
    <row r="100" spans="1:10" x14ac:dyDescent="0.3">
      <c r="A100" t="s">
        <v>223</v>
      </c>
      <c r="B100" t="s">
        <v>23</v>
      </c>
      <c r="C100" t="s">
        <v>18</v>
      </c>
      <c r="D100">
        <v>26</v>
      </c>
      <c r="E100" s="4">
        <v>2909.03</v>
      </c>
      <c r="F100" s="7">
        <v>5.94</v>
      </c>
      <c r="G100" t="s">
        <v>224</v>
      </c>
      <c r="H100" t="s">
        <v>20</v>
      </c>
      <c r="I100" s="2">
        <v>45911</v>
      </c>
      <c r="J100" t="s">
        <v>32</v>
      </c>
    </row>
    <row r="101" spans="1:10" x14ac:dyDescent="0.3">
      <c r="A101" t="s">
        <v>225</v>
      </c>
      <c r="B101" t="s">
        <v>27</v>
      </c>
      <c r="C101" t="s">
        <v>28</v>
      </c>
      <c r="D101">
        <v>78</v>
      </c>
      <c r="E101" s="4">
        <v>3212.17</v>
      </c>
      <c r="F101" s="7">
        <v>11.9</v>
      </c>
      <c r="G101" t="s">
        <v>226</v>
      </c>
      <c r="H101" t="s">
        <v>39</v>
      </c>
      <c r="I101" s="2">
        <v>45787</v>
      </c>
      <c r="J101" t="s">
        <v>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D089D-1092-44F6-BED0-405A8575B225}">
  <dimension ref="A2:W88"/>
  <sheetViews>
    <sheetView workbookViewId="0">
      <selection activeCell="S37" sqref="S37"/>
    </sheetView>
  </sheetViews>
  <sheetFormatPr defaultRowHeight="14.4" x14ac:dyDescent="0.3"/>
  <cols>
    <col min="1" max="1" width="12.88671875" bestFit="1" customWidth="1"/>
    <col min="2" max="2" width="12.5546875" bestFit="1" customWidth="1"/>
    <col min="3" max="3" width="19.109375" bestFit="1" customWidth="1"/>
    <col min="4" max="4" width="17.77734375" bestFit="1" customWidth="1"/>
    <col min="5" max="5" width="7.88671875" bestFit="1" customWidth="1"/>
    <col min="6" max="6" width="11.44140625" bestFit="1" customWidth="1"/>
    <col min="7" max="7" width="6.21875" bestFit="1" customWidth="1"/>
    <col min="8" max="8" width="10.77734375" bestFit="1" customWidth="1"/>
    <col min="9" max="11" width="6.44140625" bestFit="1" customWidth="1"/>
    <col min="12" max="18" width="6.6640625" bestFit="1" customWidth="1"/>
    <col min="19" max="19" width="12.5546875" bestFit="1" customWidth="1"/>
    <col min="20" max="20" width="15.5546875" bestFit="1" customWidth="1"/>
    <col min="21" max="21" width="10" bestFit="1" customWidth="1"/>
    <col min="22" max="22" width="12.5546875" bestFit="1" customWidth="1"/>
    <col min="23" max="23" width="19.109375" bestFit="1" customWidth="1"/>
    <col min="24" max="28" width="7.109375" bestFit="1" customWidth="1"/>
    <col min="29" max="36" width="6.6640625" bestFit="1" customWidth="1"/>
    <col min="37" max="41" width="7.44140625" bestFit="1" customWidth="1"/>
    <col min="42" max="47" width="6.5546875" bestFit="1" customWidth="1"/>
    <col min="48" max="59" width="5.88671875" bestFit="1" customWidth="1"/>
    <col min="60" max="65" width="7" bestFit="1" customWidth="1"/>
    <col min="66" max="73" width="6.77734375" bestFit="1" customWidth="1"/>
    <col min="74" max="82" width="6.5546875" bestFit="1" customWidth="1"/>
    <col min="83" max="91" width="7.109375" bestFit="1" customWidth="1"/>
    <col min="92" max="92" width="10.77734375" bestFit="1" customWidth="1"/>
    <col min="93" max="93" width="12.33203125" bestFit="1" customWidth="1"/>
    <col min="94" max="94" width="15.109375" bestFit="1" customWidth="1"/>
    <col min="95" max="95" width="12.33203125" bestFit="1" customWidth="1"/>
    <col min="96" max="96" width="15.109375" bestFit="1" customWidth="1"/>
    <col min="97" max="97" width="12.33203125" bestFit="1" customWidth="1"/>
    <col min="98" max="98" width="15.109375" bestFit="1" customWidth="1"/>
    <col min="99" max="99" width="12.33203125" bestFit="1" customWidth="1"/>
    <col min="100" max="100" width="15.109375" bestFit="1" customWidth="1"/>
    <col min="101" max="101" width="12.33203125" bestFit="1" customWidth="1"/>
    <col min="102" max="102" width="15.109375" bestFit="1" customWidth="1"/>
    <col min="103" max="103" width="12.33203125" bestFit="1" customWidth="1"/>
    <col min="104" max="104" width="15.109375" bestFit="1" customWidth="1"/>
    <col min="105" max="105" width="12.33203125" bestFit="1" customWidth="1"/>
    <col min="106" max="106" width="15.109375" bestFit="1" customWidth="1"/>
    <col min="107" max="107" width="12.33203125" bestFit="1" customWidth="1"/>
    <col min="108" max="108" width="15.109375" bestFit="1" customWidth="1"/>
    <col min="109" max="109" width="12.33203125" bestFit="1" customWidth="1"/>
    <col min="110" max="110" width="15.109375" bestFit="1" customWidth="1"/>
    <col min="111" max="111" width="12.33203125" bestFit="1" customWidth="1"/>
    <col min="112" max="112" width="15.109375" bestFit="1" customWidth="1"/>
    <col min="113" max="113" width="12.33203125" bestFit="1" customWidth="1"/>
    <col min="114" max="114" width="15.109375" bestFit="1" customWidth="1"/>
    <col min="115" max="115" width="12.33203125" bestFit="1" customWidth="1"/>
    <col min="116" max="116" width="15.109375" bestFit="1" customWidth="1"/>
    <col min="117" max="117" width="12.33203125" bestFit="1" customWidth="1"/>
    <col min="118" max="118" width="15.109375" bestFit="1" customWidth="1"/>
    <col min="119" max="119" width="12.33203125" bestFit="1" customWidth="1"/>
    <col min="120" max="120" width="15.109375" bestFit="1" customWidth="1"/>
    <col min="121" max="121" width="12.33203125" bestFit="1" customWidth="1"/>
    <col min="122" max="122" width="15.109375" bestFit="1" customWidth="1"/>
    <col min="123" max="123" width="12.33203125" bestFit="1" customWidth="1"/>
    <col min="124" max="124" width="15.109375" bestFit="1" customWidth="1"/>
    <col min="125" max="125" width="12.33203125" bestFit="1" customWidth="1"/>
    <col min="126" max="126" width="15.109375" bestFit="1" customWidth="1"/>
    <col min="127" max="127" width="12.33203125" bestFit="1" customWidth="1"/>
    <col min="128" max="128" width="15.109375" bestFit="1" customWidth="1"/>
    <col min="129" max="129" width="12.33203125" bestFit="1" customWidth="1"/>
    <col min="130" max="130" width="15.109375" bestFit="1" customWidth="1"/>
    <col min="131" max="131" width="12.33203125" bestFit="1" customWidth="1"/>
    <col min="132" max="132" width="15.109375" bestFit="1" customWidth="1"/>
    <col min="133" max="133" width="12.33203125" bestFit="1" customWidth="1"/>
    <col min="134" max="134" width="15.109375" bestFit="1" customWidth="1"/>
    <col min="135" max="135" width="12.33203125" bestFit="1" customWidth="1"/>
    <col min="136" max="136" width="15.109375" bestFit="1" customWidth="1"/>
    <col min="137" max="137" width="12.33203125" bestFit="1" customWidth="1"/>
    <col min="138" max="138" width="15.109375" bestFit="1" customWidth="1"/>
    <col min="139" max="139" width="12.33203125" bestFit="1" customWidth="1"/>
    <col min="140" max="140" width="15.109375" bestFit="1" customWidth="1"/>
    <col min="141" max="141" width="12.33203125" bestFit="1" customWidth="1"/>
    <col min="142" max="142" width="15.109375" bestFit="1" customWidth="1"/>
    <col min="143" max="143" width="12.33203125" bestFit="1" customWidth="1"/>
    <col min="144" max="144" width="15.109375" bestFit="1" customWidth="1"/>
    <col min="145" max="145" width="12.33203125" bestFit="1" customWidth="1"/>
    <col min="146" max="146" width="15.109375" bestFit="1" customWidth="1"/>
    <col min="147" max="147" width="12.33203125" bestFit="1" customWidth="1"/>
    <col min="148" max="148" width="15.109375" bestFit="1" customWidth="1"/>
    <col min="149" max="149" width="12.33203125" bestFit="1" customWidth="1"/>
    <col min="150" max="150" width="15.109375" bestFit="1" customWidth="1"/>
    <col min="151" max="151" width="12.33203125" bestFit="1" customWidth="1"/>
    <col min="152" max="152" width="15.109375" bestFit="1" customWidth="1"/>
    <col min="153" max="153" width="12.33203125" bestFit="1" customWidth="1"/>
    <col min="154" max="154" width="15.109375" bestFit="1" customWidth="1"/>
    <col min="155" max="155" width="12.33203125" bestFit="1" customWidth="1"/>
    <col min="156" max="156" width="15.109375" bestFit="1" customWidth="1"/>
    <col min="157" max="157" width="12.33203125" bestFit="1" customWidth="1"/>
    <col min="158" max="158" width="15.109375" bestFit="1" customWidth="1"/>
    <col min="159" max="159" width="12.33203125" bestFit="1" customWidth="1"/>
    <col min="160" max="160" width="15.109375" bestFit="1" customWidth="1"/>
    <col min="161" max="161" width="12.33203125" bestFit="1" customWidth="1"/>
    <col min="162" max="162" width="15.109375" bestFit="1" customWidth="1"/>
    <col min="163" max="163" width="12.33203125" bestFit="1" customWidth="1"/>
    <col min="164" max="164" width="15.109375" bestFit="1" customWidth="1"/>
    <col min="165" max="165" width="12.33203125" bestFit="1" customWidth="1"/>
    <col min="166" max="166" width="15.109375" bestFit="1" customWidth="1"/>
    <col min="167" max="167" width="12.33203125" bestFit="1" customWidth="1"/>
    <col min="168" max="168" width="15.109375" bestFit="1" customWidth="1"/>
    <col min="169" max="169" width="12.33203125" bestFit="1" customWidth="1"/>
    <col min="170" max="170" width="15.109375" bestFit="1" customWidth="1"/>
    <col min="171" max="171" width="12.33203125" bestFit="1" customWidth="1"/>
    <col min="172" max="172" width="15.109375" bestFit="1" customWidth="1"/>
    <col min="173" max="173" width="12.33203125" bestFit="1" customWidth="1"/>
    <col min="174" max="174" width="15.109375" bestFit="1" customWidth="1"/>
    <col min="175" max="175" width="12.33203125" bestFit="1" customWidth="1"/>
    <col min="176" max="176" width="15.109375" bestFit="1" customWidth="1"/>
    <col min="177" max="177" width="12.33203125" bestFit="1" customWidth="1"/>
    <col min="178" max="178" width="15.109375" bestFit="1" customWidth="1"/>
    <col min="179" max="179" width="12.33203125" bestFit="1" customWidth="1"/>
    <col min="180" max="180" width="15.109375" bestFit="1" customWidth="1"/>
    <col min="181" max="181" width="10.77734375" bestFit="1" customWidth="1"/>
  </cols>
  <sheetData>
    <row r="2" spans="1:20" x14ac:dyDescent="0.3">
      <c r="A2" s="8" t="s">
        <v>227</v>
      </c>
      <c r="B2" t="s">
        <v>229</v>
      </c>
      <c r="C2" t="s">
        <v>230</v>
      </c>
    </row>
    <row r="3" spans="1:20" x14ac:dyDescent="0.3">
      <c r="A3" s="9" t="s">
        <v>23</v>
      </c>
      <c r="B3" s="23">
        <v>1072</v>
      </c>
      <c r="C3" s="11">
        <v>0.27194246044679893</v>
      </c>
      <c r="D3" s="5">
        <f>GETPIVOTDATA("Sum of Revenue ($)",$A$2,"Product","Headphones")</f>
        <v>0.27194246044679893</v>
      </c>
      <c r="E3" s="5">
        <f>1-D3</f>
        <v>0.72805753955320107</v>
      </c>
      <c r="F3" s="12">
        <v>1</v>
      </c>
    </row>
    <row r="4" spans="1:20" x14ac:dyDescent="0.3">
      <c r="A4" s="9" t="s">
        <v>27</v>
      </c>
      <c r="B4" s="23">
        <v>1328</v>
      </c>
      <c r="C4" s="11">
        <v>0.20720230491161296</v>
      </c>
      <c r="D4" s="5">
        <f>GETPIVOTDATA("Sum of Revenue ($)",$A$2,"Product","Laptop")</f>
        <v>0.20720230491161296</v>
      </c>
      <c r="E4" s="5">
        <f t="shared" ref="E4:E7" si="0">1-D4</f>
        <v>0.79279769508838704</v>
      </c>
      <c r="F4" s="12">
        <v>1</v>
      </c>
    </row>
    <row r="5" spans="1:20" x14ac:dyDescent="0.3">
      <c r="A5" s="9" t="s">
        <v>17</v>
      </c>
      <c r="B5" s="23">
        <v>819</v>
      </c>
      <c r="C5" s="11">
        <v>0.11017702313306266</v>
      </c>
      <c r="D5" s="5">
        <f>GETPIVOTDATA("Sum of Revenue ($)",$A$2,"Product","Monitor")</f>
        <v>0.11017702313306266</v>
      </c>
      <c r="E5" s="5">
        <f t="shared" si="0"/>
        <v>0.88982297686693734</v>
      </c>
      <c r="F5" s="12">
        <v>1</v>
      </c>
    </row>
    <row r="6" spans="1:20" x14ac:dyDescent="0.3">
      <c r="A6" s="9" t="s">
        <v>11</v>
      </c>
      <c r="B6" s="23">
        <v>807</v>
      </c>
      <c r="C6" s="11">
        <v>0.18955891182280077</v>
      </c>
      <c r="D6" s="5">
        <f>GETPIVOTDATA("Sum of Revenue ($)",$A$2,"Product","Smartphone")</f>
        <v>0.18955891182280077</v>
      </c>
      <c r="E6" s="5">
        <f t="shared" si="0"/>
        <v>0.81044108817719929</v>
      </c>
      <c r="F6" s="12">
        <v>1</v>
      </c>
    </row>
    <row r="7" spans="1:20" x14ac:dyDescent="0.3">
      <c r="A7" s="9" t="s">
        <v>34</v>
      </c>
      <c r="B7" s="23">
        <v>660</v>
      </c>
      <c r="C7" s="11">
        <v>0.22111929968572469</v>
      </c>
      <c r="D7" s="5">
        <f>GETPIVOTDATA("Sum of Revenue ($)",$A$2,"Product","Tablet")</f>
        <v>0.22111929968572469</v>
      </c>
      <c r="E7" s="5">
        <f t="shared" si="0"/>
        <v>0.77888070031427525</v>
      </c>
      <c r="F7" s="12">
        <v>1</v>
      </c>
    </row>
    <row r="8" spans="1:20" x14ac:dyDescent="0.3">
      <c r="A8" s="9" t="s">
        <v>228</v>
      </c>
      <c r="B8" s="23">
        <v>4686</v>
      </c>
      <c r="C8" s="11">
        <v>1</v>
      </c>
    </row>
    <row r="11" spans="1:20" x14ac:dyDescent="0.3">
      <c r="R11" s="13"/>
      <c r="S11" s="14"/>
      <c r="T11" s="15"/>
    </row>
    <row r="12" spans="1:20" x14ac:dyDescent="0.3">
      <c r="R12" s="16"/>
      <c r="S12" s="17"/>
      <c r="T12" s="18"/>
    </row>
    <row r="13" spans="1:20" x14ac:dyDescent="0.3">
      <c r="R13" s="16"/>
      <c r="S13" s="17"/>
      <c r="T13" s="18"/>
    </row>
    <row r="14" spans="1:20" x14ac:dyDescent="0.3">
      <c r="R14" s="16"/>
      <c r="S14" s="17"/>
      <c r="T14" s="18"/>
    </row>
    <row r="15" spans="1:20" x14ac:dyDescent="0.3">
      <c r="R15" s="16"/>
      <c r="S15" s="17"/>
      <c r="T15" s="18"/>
    </row>
    <row r="16" spans="1:20" x14ac:dyDescent="0.3">
      <c r="R16" s="16"/>
      <c r="S16" s="17"/>
      <c r="T16" s="18"/>
    </row>
    <row r="17" spans="1:20" x14ac:dyDescent="0.3">
      <c r="R17" s="16"/>
      <c r="S17" s="17"/>
      <c r="T17" s="18"/>
    </row>
    <row r="18" spans="1:20" x14ac:dyDescent="0.3">
      <c r="R18" s="16"/>
      <c r="S18" s="17"/>
      <c r="T18" s="18"/>
    </row>
    <row r="19" spans="1:20" x14ac:dyDescent="0.3">
      <c r="A19" s="8" t="s">
        <v>227</v>
      </c>
      <c r="B19" t="s">
        <v>230</v>
      </c>
      <c r="R19" s="16"/>
      <c r="S19" s="17"/>
      <c r="T19" s="18"/>
    </row>
    <row r="20" spans="1:20" x14ac:dyDescent="0.3">
      <c r="A20" s="9" t="s">
        <v>39</v>
      </c>
      <c r="B20" s="4">
        <v>50268.539999999994</v>
      </c>
      <c r="R20" s="16"/>
      <c r="S20" s="17"/>
      <c r="T20" s="18"/>
    </row>
    <row r="21" spans="1:20" x14ac:dyDescent="0.3">
      <c r="A21" s="9" t="s">
        <v>36</v>
      </c>
      <c r="B21" s="4">
        <v>47404.889999999992</v>
      </c>
      <c r="R21" s="16"/>
      <c r="S21" s="17"/>
      <c r="T21" s="18"/>
    </row>
    <row r="22" spans="1:20" x14ac:dyDescent="0.3">
      <c r="A22" s="9" t="s">
        <v>25</v>
      </c>
      <c r="B22" s="4">
        <v>52348.430000000015</v>
      </c>
      <c r="R22" s="16"/>
      <c r="S22" s="17"/>
      <c r="T22" s="18"/>
    </row>
    <row r="23" spans="1:20" x14ac:dyDescent="0.3">
      <c r="A23" s="9" t="s">
        <v>14</v>
      </c>
      <c r="B23" s="4">
        <v>45726.51999999999</v>
      </c>
      <c r="R23" s="16"/>
      <c r="S23" s="17"/>
      <c r="T23" s="18"/>
    </row>
    <row r="24" spans="1:20" x14ac:dyDescent="0.3">
      <c r="A24" s="9" t="s">
        <v>20</v>
      </c>
      <c r="B24" s="4">
        <v>57984.560000000005</v>
      </c>
      <c r="R24" s="16"/>
      <c r="S24" s="17"/>
      <c r="T24" s="18"/>
    </row>
    <row r="25" spans="1:20" x14ac:dyDescent="0.3">
      <c r="A25" s="9" t="s">
        <v>228</v>
      </c>
      <c r="B25" s="4">
        <v>253732.94</v>
      </c>
      <c r="C25">
        <f>GETPIVOTDATA("Revenue ($)",$A$19)</f>
        <v>253732.94</v>
      </c>
      <c r="R25" s="16"/>
      <c r="S25" s="17"/>
      <c r="T25" s="18"/>
    </row>
    <row r="26" spans="1:20" x14ac:dyDescent="0.3">
      <c r="B26" t="str">
        <f>B19</f>
        <v>Sum of Revenue ($)</v>
      </c>
      <c r="R26" s="16"/>
      <c r="S26" s="17"/>
      <c r="T26" s="18"/>
    </row>
    <row r="27" spans="1:20" x14ac:dyDescent="0.3">
      <c r="R27" s="16"/>
      <c r="S27" s="17"/>
      <c r="T27" s="18"/>
    </row>
    <row r="28" spans="1:20" x14ac:dyDescent="0.3">
      <c r="R28" s="19"/>
      <c r="S28" s="20"/>
      <c r="T28" s="21"/>
    </row>
    <row r="36" spans="2:23" x14ac:dyDescent="0.3">
      <c r="B36" s="8" t="s">
        <v>227</v>
      </c>
      <c r="C36" t="s">
        <v>229</v>
      </c>
      <c r="T36" s="8" t="s">
        <v>231</v>
      </c>
    </row>
    <row r="37" spans="2:23" x14ac:dyDescent="0.3">
      <c r="B37" s="9" t="s">
        <v>232</v>
      </c>
      <c r="C37" s="23">
        <v>452</v>
      </c>
      <c r="S37" s="8" t="s">
        <v>227</v>
      </c>
      <c r="T37" t="s">
        <v>28</v>
      </c>
      <c r="U37" t="s">
        <v>12</v>
      </c>
      <c r="V37" t="s">
        <v>18</v>
      </c>
      <c r="W37" t="s">
        <v>228</v>
      </c>
    </row>
    <row r="38" spans="2:23" x14ac:dyDescent="0.3">
      <c r="B38" s="9" t="s">
        <v>233</v>
      </c>
      <c r="C38" s="23">
        <v>367</v>
      </c>
      <c r="S38" s="9" t="s">
        <v>23</v>
      </c>
    </row>
    <row r="39" spans="2:23" x14ac:dyDescent="0.3">
      <c r="B39" s="9" t="s">
        <v>234</v>
      </c>
      <c r="C39" s="23">
        <v>667</v>
      </c>
      <c r="S39" s="9" t="s">
        <v>27</v>
      </c>
    </row>
    <row r="40" spans="2:23" x14ac:dyDescent="0.3">
      <c r="B40" s="9" t="s">
        <v>235</v>
      </c>
      <c r="C40" s="23">
        <v>427</v>
      </c>
      <c r="S40" s="9" t="s">
        <v>17</v>
      </c>
    </row>
    <row r="41" spans="2:23" x14ac:dyDescent="0.3">
      <c r="B41" s="9" t="s">
        <v>236</v>
      </c>
      <c r="C41" s="23">
        <v>317</v>
      </c>
      <c r="S41" s="9" t="s">
        <v>11</v>
      </c>
    </row>
    <row r="42" spans="2:23" x14ac:dyDescent="0.3">
      <c r="B42" s="9" t="s">
        <v>237</v>
      </c>
      <c r="C42" s="23">
        <v>236</v>
      </c>
      <c r="S42" s="9" t="s">
        <v>34</v>
      </c>
    </row>
    <row r="43" spans="2:23" x14ac:dyDescent="0.3">
      <c r="B43" s="9" t="s">
        <v>238</v>
      </c>
      <c r="C43" s="23">
        <v>720</v>
      </c>
      <c r="S43" s="9" t="s">
        <v>228</v>
      </c>
    </row>
    <row r="44" spans="2:23" x14ac:dyDescent="0.3">
      <c r="B44" s="9" t="s">
        <v>242</v>
      </c>
      <c r="C44" s="23">
        <v>301</v>
      </c>
    </row>
    <row r="45" spans="2:23" x14ac:dyDescent="0.3">
      <c r="B45" s="9" t="s">
        <v>239</v>
      </c>
      <c r="C45" s="23">
        <v>498</v>
      </c>
    </row>
    <row r="46" spans="2:23" x14ac:dyDescent="0.3">
      <c r="B46" s="9" t="s">
        <v>240</v>
      </c>
      <c r="C46" s="23">
        <v>333</v>
      </c>
    </row>
    <row r="47" spans="2:23" x14ac:dyDescent="0.3">
      <c r="B47" s="9" t="s">
        <v>241</v>
      </c>
      <c r="C47" s="23">
        <v>368</v>
      </c>
      <c r="S47" s="10" t="s">
        <v>227</v>
      </c>
      <c r="T47" s="10" t="s">
        <v>28</v>
      </c>
      <c r="U47" s="10" t="s">
        <v>12</v>
      </c>
      <c r="V47" s="10" t="s">
        <v>18</v>
      </c>
      <c r="W47" s="10" t="s">
        <v>228</v>
      </c>
    </row>
    <row r="48" spans="2:23" x14ac:dyDescent="0.3">
      <c r="B48" s="9" t="s">
        <v>228</v>
      </c>
      <c r="C48" s="23">
        <v>4686</v>
      </c>
      <c r="S48" s="9" t="s">
        <v>23</v>
      </c>
      <c r="T48">
        <v>431</v>
      </c>
      <c r="U48">
        <v>440</v>
      </c>
      <c r="V48">
        <v>201</v>
      </c>
      <c r="W48">
        <v>1072</v>
      </c>
    </row>
    <row r="49" spans="2:23" x14ac:dyDescent="0.3">
      <c r="S49" s="9" t="s">
        <v>27</v>
      </c>
      <c r="T49">
        <v>711</v>
      </c>
      <c r="U49">
        <v>382</v>
      </c>
      <c r="V49">
        <v>235</v>
      </c>
      <c r="W49">
        <v>1328</v>
      </c>
    </row>
    <row r="50" spans="2:23" x14ac:dyDescent="0.3">
      <c r="S50" s="9" t="s">
        <v>17</v>
      </c>
      <c r="T50">
        <v>129</v>
      </c>
      <c r="U50">
        <v>298</v>
      </c>
      <c r="V50">
        <v>392</v>
      </c>
      <c r="W50">
        <v>819</v>
      </c>
    </row>
    <row r="51" spans="2:23" x14ac:dyDescent="0.3">
      <c r="B51" s="8" t="s">
        <v>227</v>
      </c>
      <c r="C51" t="s">
        <v>229</v>
      </c>
      <c r="S51" s="9" t="s">
        <v>11</v>
      </c>
      <c r="T51">
        <v>245</v>
      </c>
      <c r="U51">
        <v>152</v>
      </c>
      <c r="V51">
        <v>410</v>
      </c>
      <c r="W51">
        <v>807</v>
      </c>
    </row>
    <row r="52" spans="2:23" x14ac:dyDescent="0.3">
      <c r="B52" s="9" t="s">
        <v>80</v>
      </c>
      <c r="C52" s="23">
        <v>93</v>
      </c>
      <c r="S52" s="9" t="s">
        <v>34</v>
      </c>
      <c r="T52">
        <v>211</v>
      </c>
      <c r="U52">
        <v>309</v>
      </c>
      <c r="V52">
        <v>140</v>
      </c>
      <c r="W52">
        <v>660</v>
      </c>
    </row>
    <row r="53" spans="2:23" x14ac:dyDescent="0.3">
      <c r="B53" s="9" t="s">
        <v>144</v>
      </c>
      <c r="C53" s="23">
        <v>96</v>
      </c>
    </row>
    <row r="54" spans="2:23" x14ac:dyDescent="0.3">
      <c r="B54" s="9" t="s">
        <v>84</v>
      </c>
      <c r="C54" s="23">
        <v>97</v>
      </c>
    </row>
    <row r="55" spans="2:23" x14ac:dyDescent="0.3">
      <c r="B55" s="9" t="s">
        <v>192</v>
      </c>
      <c r="C55" s="23">
        <v>93</v>
      </c>
    </row>
    <row r="56" spans="2:23" x14ac:dyDescent="0.3">
      <c r="B56" s="9" t="s">
        <v>228</v>
      </c>
      <c r="C56" s="23">
        <v>379</v>
      </c>
    </row>
    <row r="64" spans="2:23" x14ac:dyDescent="0.3">
      <c r="V64" s="8" t="s">
        <v>227</v>
      </c>
      <c r="W64" t="s">
        <v>229</v>
      </c>
    </row>
    <row r="65" spans="22:23" x14ac:dyDescent="0.3">
      <c r="V65" s="9" t="s">
        <v>28</v>
      </c>
      <c r="W65" s="23">
        <v>1727</v>
      </c>
    </row>
    <row r="66" spans="22:23" x14ac:dyDescent="0.3">
      <c r="V66" s="9" t="s">
        <v>12</v>
      </c>
      <c r="W66" s="23">
        <v>1581</v>
      </c>
    </row>
    <row r="67" spans="22:23" x14ac:dyDescent="0.3">
      <c r="V67" s="9" t="s">
        <v>18</v>
      </c>
      <c r="W67" s="23">
        <v>1378</v>
      </c>
    </row>
    <row r="68" spans="22:23" x14ac:dyDescent="0.3">
      <c r="V68" s="9" t="s">
        <v>228</v>
      </c>
      <c r="W68" s="23">
        <v>4686</v>
      </c>
    </row>
    <row r="82" spans="2:5" x14ac:dyDescent="0.3">
      <c r="B82" s="8" t="s">
        <v>227</v>
      </c>
      <c r="C82" t="s">
        <v>229</v>
      </c>
    </row>
    <row r="83" spans="2:5" x14ac:dyDescent="0.3">
      <c r="B83" s="9" t="s">
        <v>23</v>
      </c>
      <c r="C83" s="23">
        <v>1072</v>
      </c>
      <c r="D83" t="str">
        <f>B83</f>
        <v>Headphones</v>
      </c>
      <c r="E83">
        <f>GETPIVOTDATA("Quantity Sold",$B$82,"Product","Headphones")</f>
        <v>1072</v>
      </c>
    </row>
    <row r="84" spans="2:5" x14ac:dyDescent="0.3">
      <c r="B84" s="9" t="s">
        <v>27</v>
      </c>
      <c r="C84" s="23">
        <v>1328</v>
      </c>
      <c r="D84" t="str">
        <f>B84</f>
        <v>Laptop</v>
      </c>
      <c r="E84">
        <f>GETPIVOTDATA("Quantity Sold",$B$82,"Product","Laptop")</f>
        <v>1328</v>
      </c>
    </row>
    <row r="85" spans="2:5" x14ac:dyDescent="0.3">
      <c r="B85" s="9" t="s">
        <v>17</v>
      </c>
      <c r="C85" s="23">
        <v>819</v>
      </c>
      <c r="D85" t="str">
        <f>B85</f>
        <v>Monitor</v>
      </c>
      <c r="E85">
        <f>GETPIVOTDATA("Quantity Sold",$B$82,"Product","Monitor")</f>
        <v>819</v>
      </c>
    </row>
    <row r="86" spans="2:5" x14ac:dyDescent="0.3">
      <c r="B86" s="9" t="s">
        <v>11</v>
      </c>
      <c r="C86" s="23">
        <v>807</v>
      </c>
      <c r="D86" t="str">
        <f>B86</f>
        <v>Smartphone</v>
      </c>
      <c r="E86">
        <f>GETPIVOTDATA("Quantity Sold",$B$82,"Product","Smartphone")</f>
        <v>807</v>
      </c>
    </row>
    <row r="87" spans="2:5" x14ac:dyDescent="0.3">
      <c r="B87" s="9" t="s">
        <v>34</v>
      </c>
      <c r="C87" s="23">
        <v>660</v>
      </c>
      <c r="D87" t="str">
        <f>B87</f>
        <v>Tablet</v>
      </c>
      <c r="E87">
        <f>GETPIVOTDATA("Quantity Sold",$B$82,"Product","Tablet")</f>
        <v>660</v>
      </c>
    </row>
    <row r="88" spans="2:5" x14ac:dyDescent="0.3">
      <c r="B88" s="9" t="s">
        <v>228</v>
      </c>
      <c r="C88" s="23">
        <v>4686</v>
      </c>
      <c r="E88">
        <f>GETPIVOTDATA("Quantity Sold",$B$82)</f>
        <v>4686</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5CC332A9-F603-429D-99D6-9880ADCF4CBF}">
          <x14:colorSeries theme="3"/>
          <x14:colorNegative theme="4"/>
          <x14:colorAxis rgb="FF000000"/>
          <x14:colorMarkers theme="9"/>
          <x14:colorFirst theme="5"/>
          <x14:colorLast theme="6"/>
          <x14:colorHigh theme="7"/>
          <x14:colorLow theme="8"/>
          <x14:sparklines>
            <x14:sparkline>
              <xm:f>pi_t!E83:E87</xm:f>
              <xm:sqref>E89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1F1D0-F78E-4778-A0C1-A552BC1AE799}">
  <dimension ref="N1"/>
  <sheetViews>
    <sheetView showGridLines="0" tabSelected="1" zoomScaleNormal="100" workbookViewId="0">
      <selection activeCell="N2" sqref="N1:N1048576"/>
    </sheetView>
  </sheetViews>
  <sheetFormatPr defaultRowHeight="14.4" x14ac:dyDescent="0.3"/>
  <cols>
    <col min="14" max="14" width="8.88671875" style="22"/>
  </cols>
  <sheetData>
    <row r="1" spans="14:14" x14ac:dyDescent="0.3">
      <c r="N1" s="22">
        <f>pi_t!E84</f>
        <v>1328</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pi_t</vt:lpstr>
      <vt:lpstr>Dashb_rd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Sumitsingh tomar</cp:lastModifiedBy>
  <dcterms:created xsi:type="dcterms:W3CDTF">2025-12-03T12:50:13Z</dcterms:created>
  <dcterms:modified xsi:type="dcterms:W3CDTF">2025-12-05T04:49:03Z</dcterms:modified>
</cp:coreProperties>
</file>